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iusinfra-my.sharepoint.com/personal/prafulla_mishra_altiusinfra_com/Documents/ATC Telecom/MIS/CHRO Review/"/>
    </mc:Choice>
  </mc:AlternateContent>
  <xr:revisionPtr revIDLastSave="160" documentId="8_{8D3243A9-25E8-42FD-842A-67AD61F44F65}" xr6:coauthVersionLast="47" xr6:coauthVersionMax="47" xr10:uidLastSave="{4E3D18EE-AFF2-4F91-ADD8-3396F381E1F3}"/>
  <bookViews>
    <workbookView xWindow="-110" yWindow="-110" windowWidth="19420" windowHeight="10300" activeTab="3" xr2:uid="{EBC7B290-D1F1-4095-815B-E76150448F4A}"/>
  </bookViews>
  <sheets>
    <sheet name="File2" sheetId="5" r:id="rId1"/>
    <sheet name="File1" sheetId="3" r:id="rId2"/>
    <sheet name="AI Codes" sheetId="4" r:id="rId3"/>
    <sheet name="Sheet1" sheetId="1" r:id="rId4"/>
  </sheets>
  <definedNames>
    <definedName name="_xlnm._FilterDatabase" localSheetId="1" hidden="1">File1!$A$4:$ER$24</definedName>
    <definedName name="_xlnm._FilterDatabase" localSheetId="0" hidden="1">File2!$A$4:$EH$24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6" i="5"/>
  <c r="EF3" i="5"/>
  <c r="EE3" i="5"/>
  <c r="ED3" i="5"/>
  <c r="EC3" i="5"/>
  <c r="EB3" i="5"/>
  <c r="EA3" i="5"/>
  <c r="DZ3" i="5"/>
  <c r="DY3" i="5"/>
  <c r="DX3" i="5"/>
  <c r="DW3" i="5"/>
  <c r="DV3" i="5"/>
  <c r="DU3" i="5"/>
  <c r="DT3" i="5"/>
  <c r="DS3" i="5"/>
  <c r="DR3" i="5"/>
  <c r="DQ3" i="5"/>
  <c r="DP3" i="5"/>
  <c r="DO3" i="5"/>
  <c r="DN3" i="5"/>
  <c r="DM3" i="5"/>
  <c r="DL3" i="5"/>
  <c r="DK3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CI3" i="3"/>
  <c r="EM11" i="3"/>
  <c r="EE3" i="3"/>
  <c r="ED3" i="3"/>
  <c r="EC3" i="3"/>
  <c r="EB3" i="3"/>
  <c r="EA3" i="3"/>
  <c r="DZ3" i="3"/>
  <c r="DY3" i="3"/>
  <c r="DX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DW3" i="3" l="1"/>
  <c r="EF3" i="3"/>
</calcChain>
</file>

<file path=xl/sharedStrings.xml><?xml version="1.0" encoding="utf-8"?>
<sst xmlns="http://schemas.openxmlformats.org/spreadsheetml/2006/main" count="1280" uniqueCount="473">
  <si>
    <t>Digitazation</t>
  </si>
  <si>
    <t xml:space="preserve"> - HRMS</t>
  </si>
  <si>
    <t xml:space="preserve"> </t>
  </si>
  <si>
    <t xml:space="preserve"> - SAP</t>
  </si>
  <si>
    <t>- Tarantula</t>
  </si>
  <si>
    <t>Full &amp; Final Settlement</t>
  </si>
  <si>
    <t>Exit clearance</t>
  </si>
  <si>
    <t>Car Lease</t>
  </si>
  <si>
    <t>Attendance API Integration for Payroll processing</t>
  </si>
  <si>
    <t>HR Dashboad</t>
  </si>
  <si>
    <t>AOP vs Actual (SG&amp;A Expenses)</t>
  </si>
  <si>
    <t>Compliance Tool</t>
  </si>
  <si>
    <t>Competency Mapping</t>
  </si>
  <si>
    <t>HR Audit</t>
  </si>
  <si>
    <t>Automation Upgrade Module</t>
  </si>
  <si>
    <t>Pay Sheet for the Month of Jun 2026</t>
  </si>
  <si>
    <t>Employee_ID</t>
  </si>
  <si>
    <t>Employee Name</t>
  </si>
  <si>
    <t>Gender</t>
  </si>
  <si>
    <t>Date of Birth</t>
  </si>
  <si>
    <t>Date of Joining</t>
  </si>
  <si>
    <t>Last Working Day</t>
  </si>
  <si>
    <t>Fathers Name</t>
  </si>
  <si>
    <t>Designation</t>
  </si>
  <si>
    <t>Department</t>
  </si>
  <si>
    <t>Sub Department</t>
  </si>
  <si>
    <t>Cost Center</t>
  </si>
  <si>
    <t>Circle</t>
  </si>
  <si>
    <t>Position Description</t>
  </si>
  <si>
    <t>Location</t>
  </si>
  <si>
    <t>State</t>
  </si>
  <si>
    <t>Bank Name</t>
  </si>
  <si>
    <t>IFSC</t>
  </si>
  <si>
    <t>Bank Account No</t>
  </si>
  <si>
    <t>PAN</t>
  </si>
  <si>
    <t>PF Number</t>
  </si>
  <si>
    <t>UAN</t>
  </si>
  <si>
    <t>PRAN</t>
  </si>
  <si>
    <t>Region</t>
  </si>
  <si>
    <t>Employee Status</t>
  </si>
  <si>
    <t>Days Worked</t>
  </si>
  <si>
    <t>Payable Days</t>
  </si>
  <si>
    <t>Previous Month LOP</t>
  </si>
  <si>
    <t>LOP Reversal</t>
  </si>
  <si>
    <t>New Joinee Arr Days</t>
  </si>
  <si>
    <t>Basic</t>
  </si>
  <si>
    <t>Basic Arrear</t>
  </si>
  <si>
    <t>HRA</t>
  </si>
  <si>
    <t>HRA Arrear</t>
  </si>
  <si>
    <t>Special Allowance</t>
  </si>
  <si>
    <t>Special Allowance Arrear</t>
  </si>
  <si>
    <t>Child Education Allowance</t>
  </si>
  <si>
    <t>Child Education Allowance Arrear</t>
  </si>
  <si>
    <t>Child Hostel Allowance</t>
  </si>
  <si>
    <t>Child Hostel Allowance Arrear</t>
  </si>
  <si>
    <t>Food Coupon</t>
  </si>
  <si>
    <t>Food Coupon Arrear</t>
  </si>
  <si>
    <t>Joining Bonus</t>
  </si>
  <si>
    <t>Reward &amp; Recognition</t>
  </si>
  <si>
    <t>Location Allowance</t>
  </si>
  <si>
    <t>Notice Pay</t>
  </si>
  <si>
    <t>Special Geo Allowance</t>
  </si>
  <si>
    <t>Bonus</t>
  </si>
  <si>
    <t>Leave Encashment</t>
  </si>
  <si>
    <t>Gratuity</t>
  </si>
  <si>
    <t>LTA Taxable</t>
  </si>
  <si>
    <t>PDR Taxable</t>
  </si>
  <si>
    <t>Telephone Taxable</t>
  </si>
  <si>
    <t>Salary Hold Release</t>
  </si>
  <si>
    <t>GIFT Taxable</t>
  </si>
  <si>
    <t>Shift Allowance</t>
  </si>
  <si>
    <t>Other Earning</t>
  </si>
  <si>
    <t>Statutory Earnings</t>
  </si>
  <si>
    <t>Books Perio Taxable</t>
  </si>
  <si>
    <t>Driver Taxable</t>
  </si>
  <si>
    <t>Vehicle Taxable</t>
  </si>
  <si>
    <t>Exgratia</t>
  </si>
  <si>
    <t>FBP Taxable</t>
  </si>
  <si>
    <t>FBP Non Taxable</t>
  </si>
  <si>
    <t>Leave Encashment Taxable</t>
  </si>
  <si>
    <t>Conveyance Allowance</t>
  </si>
  <si>
    <t>Medical Reimbursement</t>
  </si>
  <si>
    <t>LTA Non Taxable</t>
  </si>
  <si>
    <t>Food Coupon Taxable</t>
  </si>
  <si>
    <t>Relocation Allowance</t>
  </si>
  <si>
    <t>RSU Stock Option Perquisite</t>
  </si>
  <si>
    <t>Arrear</t>
  </si>
  <si>
    <t>RESETTLE AMOUNT</t>
  </si>
  <si>
    <t>LUNCH SUBSIDY</t>
  </si>
  <si>
    <t>OFFICE ALLOWANCE</t>
  </si>
  <si>
    <t>GIFT COUPON EARNINGS</t>
  </si>
  <si>
    <t>LOAL ALLOWANCE 2</t>
  </si>
  <si>
    <t>DEPUTATION ALLOWANCE</t>
  </si>
  <si>
    <t>LONG SERVICE AWARD</t>
  </si>
  <si>
    <t>MARRIAGE_GIFT</t>
  </si>
  <si>
    <t>TOWER_STAR_AWARDS</t>
  </si>
  <si>
    <t>INCENTIVE</t>
  </si>
  <si>
    <t>EXGRATIA_INSURANCE</t>
  </si>
  <si>
    <t>DEFERRED_BONUS</t>
  </si>
  <si>
    <t>SPECIAL_PAY</t>
  </si>
  <si>
    <t>LOSS OF VARIABLE PAY</t>
  </si>
  <si>
    <t>NPS_EARNING</t>
  </si>
  <si>
    <t>Gross Earnings</t>
  </si>
  <si>
    <t>PF</t>
  </si>
  <si>
    <t>TDS</t>
  </si>
  <si>
    <t>VPF</t>
  </si>
  <si>
    <t>PT</t>
  </si>
  <si>
    <t>ESPP Deduction</t>
  </si>
  <si>
    <t>Loan Deduction</t>
  </si>
  <si>
    <t>Food Coupon Deduction</t>
  </si>
  <si>
    <t>Other Deduction</t>
  </si>
  <si>
    <t>LWF</t>
  </si>
  <si>
    <t>Notice Period Recovery</t>
  </si>
  <si>
    <t>NPS_Deduction</t>
  </si>
  <si>
    <t>Imprest_Advance</t>
  </si>
  <si>
    <t>Gift_Recovery</t>
  </si>
  <si>
    <t>Employee State Insurance</t>
  </si>
  <si>
    <t>ESPP Refund</t>
  </si>
  <si>
    <t>Mobile Deduction</t>
  </si>
  <si>
    <t>Petty Cash Recovery</t>
  </si>
  <si>
    <t>Telephone Usage Recovery</t>
  </si>
  <si>
    <t>Excess Contribution Recovery</t>
  </si>
  <si>
    <t>Travel Advance Recovery</t>
  </si>
  <si>
    <t>Fringe Benefit Tax Deduction</t>
  </si>
  <si>
    <t>Excess TDS Refund</t>
  </si>
  <si>
    <t>RSU Stock Option Paid</t>
  </si>
  <si>
    <t>Statutory Deduction</t>
  </si>
  <si>
    <t>Round Amount b/f</t>
  </si>
  <si>
    <t>Relocation Deduction</t>
  </si>
  <si>
    <t>Location Allowance Recovery</t>
  </si>
  <si>
    <t>Handset Recovery</t>
  </si>
  <si>
    <t>RSU_Stock_Option_Paid</t>
  </si>
  <si>
    <t>Vehicle Principal</t>
  </si>
  <si>
    <t>Vehicle Interest</t>
  </si>
  <si>
    <t>Gift Coupon Deduction</t>
  </si>
  <si>
    <t>GTUCP</t>
  </si>
  <si>
    <t>Arrear_ESPP_Deduction</t>
  </si>
  <si>
    <t>CAR_LEASE_EMI</t>
  </si>
  <si>
    <t>Laptop_Retention_Deduction</t>
  </si>
  <si>
    <t>Tower_Star_Awards_Paid</t>
  </si>
  <si>
    <t>CARINS_REC</t>
  </si>
  <si>
    <t>Gross Deduction</t>
  </si>
  <si>
    <t>Net Pay</t>
  </si>
  <si>
    <t>LTA Reimbursement</t>
  </si>
  <si>
    <t>PDR Reimbursement</t>
  </si>
  <si>
    <t>TEL Reimbursement</t>
  </si>
  <si>
    <t>Books &amp; Period Reimbursement</t>
  </si>
  <si>
    <t>DRI Reimbursement</t>
  </si>
  <si>
    <t>Vehicle fuel &amp; Maint. Reimbursement</t>
  </si>
  <si>
    <t>Health Club Reimb</t>
  </si>
  <si>
    <t>Gross Reimbursement</t>
  </si>
  <si>
    <t>Net Payable</t>
  </si>
  <si>
    <t>Paymode</t>
  </si>
  <si>
    <t>Reason</t>
  </si>
  <si>
    <t>DOR</t>
  </si>
  <si>
    <t>LWD</t>
  </si>
  <si>
    <t>NS</t>
  </si>
  <si>
    <t>NP</t>
  </si>
  <si>
    <t>Short Notice</t>
  </si>
  <si>
    <t>Expected LWD</t>
  </si>
  <si>
    <t>F</t>
  </si>
  <si>
    <t>Ashwani Kapur</t>
  </si>
  <si>
    <t>Senior Vice President</t>
  </si>
  <si>
    <t>Legal</t>
  </si>
  <si>
    <t>3000400001</t>
  </si>
  <si>
    <t>Corporate - Gurgaon</t>
  </si>
  <si>
    <t>Chief Legal Officer</t>
  </si>
  <si>
    <t>Gurgaon</t>
  </si>
  <si>
    <t>Haryana</t>
  </si>
  <si>
    <t>HDFC Bank</t>
  </si>
  <si>
    <t>HDFC0000227</t>
  </si>
  <si>
    <t>50100047612952</t>
  </si>
  <si>
    <t>BABPK3284J</t>
  </si>
  <si>
    <t>APHYD00597130000014952</t>
  </si>
  <si>
    <t>100798598571</t>
  </si>
  <si>
    <t/>
  </si>
  <si>
    <t>Bank</t>
  </si>
  <si>
    <t>Active</t>
  </si>
  <si>
    <t>Prakash Kashinath Jainak</t>
  </si>
  <si>
    <t>Manager</t>
  </si>
  <si>
    <t>Operations</t>
  </si>
  <si>
    <t>3000300001</t>
  </si>
  <si>
    <t>RF Planner</t>
  </si>
  <si>
    <t>ICICI Bank</t>
  </si>
  <si>
    <t>ICIC0000985</t>
  </si>
  <si>
    <t>098501549647</t>
  </si>
  <si>
    <t>AUAPJ4866B</t>
  </si>
  <si>
    <t>APHYD00597130000014964</t>
  </si>
  <si>
    <t>100435724765</t>
  </si>
  <si>
    <t>M</t>
  </si>
  <si>
    <t>Krishna Swaroop Yadav</t>
  </si>
  <si>
    <t>Senior Manager</t>
  </si>
  <si>
    <t>Quality</t>
  </si>
  <si>
    <t>3000MHMH03</t>
  </si>
  <si>
    <t>Mumbai - Maharashtra &amp; Goa</t>
  </si>
  <si>
    <t>Circle Quality Lead</t>
  </si>
  <si>
    <t>PUNE</t>
  </si>
  <si>
    <t>Maharashtra</t>
  </si>
  <si>
    <t>ICIC0000177</t>
  </si>
  <si>
    <t>017701574020</t>
  </si>
  <si>
    <t>AEBPY1042H</t>
  </si>
  <si>
    <t>APHYD00597130000014959</t>
  </si>
  <si>
    <t>100291740080</t>
  </si>
  <si>
    <t>Shri H S P Verma</t>
  </si>
  <si>
    <t>3000BRBR03</t>
  </si>
  <si>
    <t>BIHAR &amp; JHARKHAND</t>
  </si>
  <si>
    <t>Circle Quality Head</t>
  </si>
  <si>
    <t>PATNA</t>
  </si>
  <si>
    <t>Bihar</t>
  </si>
  <si>
    <t>ICIC0000192</t>
  </si>
  <si>
    <t>019001505677</t>
  </si>
  <si>
    <t>AELPV9226N</t>
  </si>
  <si>
    <t>APHYD00597130000014958</t>
  </si>
  <si>
    <t>100132388259</t>
  </si>
  <si>
    <t>Dayaram Yadav</t>
  </si>
  <si>
    <t>Deputy Manager</t>
  </si>
  <si>
    <t>Supply Chain Management</t>
  </si>
  <si>
    <t>Planning &amp; Logistics</t>
  </si>
  <si>
    <t>3000500004</t>
  </si>
  <si>
    <t>Material Planner</t>
  </si>
  <si>
    <t>HDFC0009075</t>
  </si>
  <si>
    <t>50100348429234</t>
  </si>
  <si>
    <t>ETCPS8957M</t>
  </si>
  <si>
    <t>APHYD00597130000014961</t>
  </si>
  <si>
    <t>100585401311</t>
  </si>
  <si>
    <t>B Ramulu</t>
  </si>
  <si>
    <t>O&amp;M</t>
  </si>
  <si>
    <t>3000APTL03</t>
  </si>
  <si>
    <t>Andhra Pradesh &amp; Telangana</t>
  </si>
  <si>
    <t>Cluster Incharge</t>
  </si>
  <si>
    <t>HYDERABAD</t>
  </si>
  <si>
    <t>Telangana</t>
  </si>
  <si>
    <t>ICIC0000053</t>
  </si>
  <si>
    <t>005301507692</t>
  </si>
  <si>
    <t>AOPPB4286C</t>
  </si>
  <si>
    <t>APHYD00597130000014969</t>
  </si>
  <si>
    <t>100102368066</t>
  </si>
  <si>
    <t>Nagendra Dubey</t>
  </si>
  <si>
    <t>Madhepura</t>
  </si>
  <si>
    <t>State Bank of India</t>
  </si>
  <si>
    <t>SBIN0002517</t>
  </si>
  <si>
    <t>31807471984</t>
  </si>
  <si>
    <t>BKJPD1912Q</t>
  </si>
  <si>
    <t>APHYD00597130000014968</t>
  </si>
  <si>
    <t>100442356983</t>
  </si>
  <si>
    <t>Serving full notice</t>
  </si>
  <si>
    <t>Ram Bhagat Agarwal</t>
  </si>
  <si>
    <t>Senior Director</t>
  </si>
  <si>
    <t>IT</t>
  </si>
  <si>
    <t>Billing Applications</t>
  </si>
  <si>
    <t>3000700001</t>
  </si>
  <si>
    <t>Head - Billing &amp; Oracle EBS</t>
  </si>
  <si>
    <t>The Federal Bank Ltd.</t>
  </si>
  <si>
    <t>FDRL0001980</t>
  </si>
  <si>
    <t>19800100036526</t>
  </si>
  <si>
    <t>AKDPA5220B</t>
  </si>
  <si>
    <t>APHYD00597130000014975</t>
  </si>
  <si>
    <t>100079947549</t>
  </si>
  <si>
    <t>110056864907</t>
  </si>
  <si>
    <t>Anil Kumar</t>
  </si>
  <si>
    <t>Assistant Manager</t>
  </si>
  <si>
    <t>Delivery</t>
  </si>
  <si>
    <t>3000UWUK12</t>
  </si>
  <si>
    <t>UP West &amp; Uttarakhand</t>
  </si>
  <si>
    <t>Circle Electrification Lead</t>
  </si>
  <si>
    <t>NOIDA</t>
  </si>
  <si>
    <t>Uttar Pradesh</t>
  </si>
  <si>
    <t>Canara Bank</t>
  </si>
  <si>
    <t>CNRB0000348</t>
  </si>
  <si>
    <t>0348131004766</t>
  </si>
  <si>
    <t>AZCPC8209J</t>
  </si>
  <si>
    <t>APHYD00597130000014981</t>
  </si>
  <si>
    <t>101778370487</t>
  </si>
  <si>
    <t>Bachaspati Pant</t>
  </si>
  <si>
    <t>Product Sourcing &amp; Operations</t>
  </si>
  <si>
    <t>3000UWUK07</t>
  </si>
  <si>
    <t>WH &amp; Logistics Support</t>
  </si>
  <si>
    <t>IndusInd Bank</t>
  </si>
  <si>
    <t>INDB0000276</t>
  </si>
  <si>
    <t>100064279618</t>
  </si>
  <si>
    <t>APZPP0183M</t>
  </si>
  <si>
    <t>APHYD00597130000014983</t>
  </si>
  <si>
    <t>101778370500</t>
  </si>
  <si>
    <t>Deepak Gupta</t>
  </si>
  <si>
    <t>Finance</t>
  </si>
  <si>
    <t>Pricing &amp; Commercials</t>
  </si>
  <si>
    <t>3000500003</t>
  </si>
  <si>
    <t>Pricing Specialist - Elevar</t>
  </si>
  <si>
    <t>ICIC0006633</t>
  </si>
  <si>
    <t>017701596272</t>
  </si>
  <si>
    <t>BFPPG8559H</t>
  </si>
  <si>
    <t>APHYD00597130000014980</t>
  </si>
  <si>
    <t>100958862134</t>
  </si>
  <si>
    <t>Abdul Waheed</t>
  </si>
  <si>
    <t>Energy</t>
  </si>
  <si>
    <t>3000MHMH13</t>
  </si>
  <si>
    <t>Circle Energy Head</t>
  </si>
  <si>
    <t>IDBI Bank</t>
  </si>
  <si>
    <t>IBKL0001707</t>
  </si>
  <si>
    <t>1707104000017815</t>
  </si>
  <si>
    <t>AOLPR6540P</t>
  </si>
  <si>
    <t>APHYD00597130000014985</t>
  </si>
  <si>
    <t>100384065746</t>
  </si>
  <si>
    <t>JAIMUNI KUMAR GARG</t>
  </si>
  <si>
    <t>Vice President</t>
  </si>
  <si>
    <t>SCM</t>
  </si>
  <si>
    <t>Head SCM</t>
  </si>
  <si>
    <t>KOTAK Mahindra Bank LTD</t>
  </si>
  <si>
    <t>KKBK0004265</t>
  </si>
  <si>
    <t>674010015340</t>
  </si>
  <si>
    <t>ABIPG2805L</t>
  </si>
  <si>
    <t>APHYD00597130000014992</t>
  </si>
  <si>
    <t>100020789207</t>
  </si>
  <si>
    <t>Haramohan Rout</t>
  </si>
  <si>
    <t>3000ASAS03</t>
  </si>
  <si>
    <t>NESA</t>
  </si>
  <si>
    <t>Guwahati</t>
  </si>
  <si>
    <t>Assam</t>
  </si>
  <si>
    <t>ICIC0000543</t>
  </si>
  <si>
    <t>054301000977</t>
  </si>
  <si>
    <t>AUHPP7389N</t>
  </si>
  <si>
    <t>APHYD00597130000014988</t>
  </si>
  <si>
    <t>100164453636</t>
  </si>
  <si>
    <t>Awdhesh Kumar Singh</t>
  </si>
  <si>
    <t>Senior Executive</t>
  </si>
  <si>
    <t>3000MPMP12</t>
  </si>
  <si>
    <t>MP &amp; Chhattisgarh</t>
  </si>
  <si>
    <t>SA Executive</t>
  </si>
  <si>
    <t>Indore</t>
  </si>
  <si>
    <t>Madhya Pradesh</t>
  </si>
  <si>
    <t>ICIC0000241</t>
  </si>
  <si>
    <t>024101522078</t>
  </si>
  <si>
    <t>DEHPS0089K</t>
  </si>
  <si>
    <t>APHYD00597130000014999</t>
  </si>
  <si>
    <t>100761493023</t>
  </si>
  <si>
    <t>Pohap Singh Tomar</t>
  </si>
  <si>
    <t>3000RJRJ03</t>
  </si>
  <si>
    <t>RAJASTHAN</t>
  </si>
  <si>
    <t>BHARATPUR</t>
  </si>
  <si>
    <t>Rajasthan</t>
  </si>
  <si>
    <t>HDFC0001430</t>
  </si>
  <si>
    <t>12341140003318</t>
  </si>
  <si>
    <t>AHLPT8260D</t>
  </si>
  <si>
    <t>APHYD00597130000015010</t>
  </si>
  <si>
    <t>100923850985</t>
  </si>
  <si>
    <t>D Sampath</t>
  </si>
  <si>
    <t>3000KAKA03</t>
  </si>
  <si>
    <t>KARNATAKA</t>
  </si>
  <si>
    <t>Circle O&amp;M Customer Support</t>
  </si>
  <si>
    <t>Bengaluru</t>
  </si>
  <si>
    <t>Karnataka</t>
  </si>
  <si>
    <t>South Indian Bank</t>
  </si>
  <si>
    <t>SIBL0000108</t>
  </si>
  <si>
    <t>0108053000026978</t>
  </si>
  <si>
    <t>BUEPS2090F</t>
  </si>
  <si>
    <t>APHYD00597130000015000</t>
  </si>
  <si>
    <t>100843274889</t>
  </si>
  <si>
    <t>Prabhat Kumar Panda</t>
  </si>
  <si>
    <t>Assistant Director</t>
  </si>
  <si>
    <t>Partner PMO</t>
  </si>
  <si>
    <t>3000250005</t>
  </si>
  <si>
    <t>Corporate - Mumbai</t>
  </si>
  <si>
    <t>Partner PMO Lead</t>
  </si>
  <si>
    <t>MUMBAI</t>
  </si>
  <si>
    <t>HDFC0000122</t>
  </si>
  <si>
    <t>01221140064815</t>
  </si>
  <si>
    <t>AVNPP7357D</t>
  </si>
  <si>
    <t>APHYD00597130000015007</t>
  </si>
  <si>
    <t>100519250317</t>
  </si>
  <si>
    <t>Nirmal Kumar Sen</t>
  </si>
  <si>
    <t>3000WBWB13</t>
  </si>
  <si>
    <t>WEST BENGAL</t>
  </si>
  <si>
    <t>KOLKATA</t>
  </si>
  <si>
    <t>West Bengal</t>
  </si>
  <si>
    <t>ICIC0001056</t>
  </si>
  <si>
    <t>105601528617</t>
  </si>
  <si>
    <t>BHCPS9533E</t>
  </si>
  <si>
    <t>APHYD00597130000015023</t>
  </si>
  <si>
    <t>100039765508</t>
  </si>
  <si>
    <t>Avtar Singh</t>
  </si>
  <si>
    <t>OBRM Specialist</t>
  </si>
  <si>
    <t>Bank of Baroda</t>
  </si>
  <si>
    <t>BARB0JAGADH</t>
  </si>
  <si>
    <t>29060100006693</t>
  </si>
  <si>
    <t>EPWPS7958E</t>
  </si>
  <si>
    <t>APHYD00597130000015122</t>
  </si>
  <si>
    <t>101194326998</t>
  </si>
  <si>
    <t>Finance Shared Services</t>
  </si>
  <si>
    <t>Gov &amp; Payment Collection Support - Elevar</t>
  </si>
  <si>
    <t>ICIC0000816</t>
  </si>
  <si>
    <t>Pay Sheet for the Month of May 2026</t>
  </si>
  <si>
    <t>06/03/1984</t>
  </si>
  <si>
    <t>15/09/2021</t>
  </si>
  <si>
    <t>07/03/1992</t>
  </si>
  <si>
    <t>18/10/2021</t>
  </si>
  <si>
    <t>04/04/1986</t>
  </si>
  <si>
    <t>04/02/1974</t>
  </si>
  <si>
    <t>29/10/2021</t>
  </si>
  <si>
    <t>13/02/1992</t>
  </si>
  <si>
    <t>15/11/2021</t>
  </si>
  <si>
    <t>20/09/1980</t>
  </si>
  <si>
    <t>02/12/2021</t>
  </si>
  <si>
    <t>29/03/1994</t>
  </si>
  <si>
    <t>18/04/1983</t>
  </si>
  <si>
    <t>21/12/2021</t>
  </si>
  <si>
    <t>Anil Kumar Anand</t>
  </si>
  <si>
    <t>081601563203</t>
  </si>
  <si>
    <t>ANWPA0749D</t>
  </si>
  <si>
    <t>APHYD00597130000014979</t>
  </si>
  <si>
    <t>100954122641</t>
  </si>
  <si>
    <t>16/11/1983</t>
  </si>
  <si>
    <t>27/12/2021</t>
  </si>
  <si>
    <t>02/06/1993</t>
  </si>
  <si>
    <t>30/12/2021</t>
  </si>
  <si>
    <t>07/02/1985</t>
  </si>
  <si>
    <t>18/01/1993</t>
  </si>
  <si>
    <t>03/01/2022</t>
  </si>
  <si>
    <t>03/07/1985</t>
  </si>
  <si>
    <t>27/01/2022</t>
  </si>
  <si>
    <t>20/01/1972</t>
  </si>
  <si>
    <t>01/02/2022</t>
  </si>
  <si>
    <t>23/06/1984</t>
  </si>
  <si>
    <t>07/02/2022</t>
  </si>
  <si>
    <t>03/05/1986</t>
  </si>
  <si>
    <t>25/02/2022</t>
  </si>
  <si>
    <t>05/03/1987</t>
  </si>
  <si>
    <t>04/04/2022</t>
  </si>
  <si>
    <t>28/05/1981</t>
  </si>
  <si>
    <t>01/04/2022</t>
  </si>
  <si>
    <t>25/05/1986</t>
  </si>
  <si>
    <t>14/04/2022</t>
  </si>
  <si>
    <t>09/10/1984</t>
  </si>
  <si>
    <t>27/05/2022</t>
  </si>
  <si>
    <t>import pandas as pd</t>
  </si>
  <si>
    <t># Read Excel files</t>
  </si>
  <si>
    <t>file1 = pd.read_excel("File1.xlsx")</t>
  </si>
  <si>
    <t>file2 = pd.read_excel("File2.xlsx")</t>
  </si>
  <si>
    <t># Basic summary for each file</t>
  </si>
  <si>
    <t>summary1 = file1.describe(include="all")</t>
  </si>
  <si>
    <t>summary2 = file2.describe(include="all")</t>
  </si>
  <si>
    <t># Row and column counts</t>
  </si>
  <si>
    <t>overview = pd.DataFrame({</t>
  </si>
  <si>
    <t>"Metric": ["Rows", "Columns"],</t>
  </si>
  <si>
    <t>"File1": [file1.shape[0], file1.shape[1]],</t>
  </si>
  <si>
    <t>"File2": [file2.shape[0], file2.shape[1]]</t>
  </si>
  <si>
    <t>})</t>
  </si>
  <si>
    <t># Combine summaries into one Excel report</t>
  </si>
  <si>
    <t>with pd.ExcelWriter("Excel_Summary_Report.xlsx", engine="openpyxl") as writer:</t>
  </si>
  <si>
    <t>overview.to_excel(writer, sheet_name="Overview", index=False)</t>
  </si>
  <si>
    <t>summary1.to_excel(writer, sheet_name="File1_Summary")</t>
  </si>
  <si>
    <t>summary2.to_excel(writer, sheet_name="File2_Summary")</t>
  </si>
  <si>
    <t>print("Summary report created: Excel_Summary_Report.xlsx")</t>
  </si>
  <si>
    <t>James</t>
  </si>
  <si>
    <t>John</t>
  </si>
  <si>
    <t>Michael</t>
  </si>
  <si>
    <t>William</t>
  </si>
  <si>
    <t>David</t>
  </si>
  <si>
    <t>Robert</t>
  </si>
  <si>
    <t>Joseph</t>
  </si>
  <si>
    <t>Christopher</t>
  </si>
  <si>
    <t>Daniel</t>
  </si>
  <si>
    <t>Matthew</t>
  </si>
  <si>
    <t>Emma</t>
  </si>
  <si>
    <t>Olivia</t>
  </si>
  <si>
    <t>Sophia</t>
  </si>
  <si>
    <t>Ava</t>
  </si>
  <si>
    <t>Isabella</t>
  </si>
  <si>
    <t>Charlotte</t>
  </si>
  <si>
    <t>Amelia</t>
  </si>
  <si>
    <t>Emily</t>
  </si>
  <si>
    <t>Hannah</t>
  </si>
  <si>
    <t>Grace</t>
  </si>
  <si>
    <t>ABC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</si>
</sst>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color theme="0"/>
      <name val="Calibr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1" applyFont="1"/>
    <xf numFmtId="0" fontId="4" fillId="0" borderId="0" xfId="2"/>
    <xf numFmtId="15" fontId="4" fillId="0" borderId="0" xfId="2" applyNumberFormat="1"/>
    <xf numFmtId="0" fontId="4" fillId="0" borderId="0" xfId="2" applyAlignment="1">
      <alignment horizontal="left"/>
    </xf>
    <xf numFmtId="164" fontId="3" fillId="0" borderId="0" xfId="2" applyNumberFormat="1" applyFont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15" fontId="5" fillId="2" borderId="2" xfId="2" applyNumberFormat="1" applyFont="1" applyFill="1" applyBorder="1" applyAlignment="1">
      <alignment horizontal="center" vertical="center"/>
    </xf>
    <xf numFmtId="15" fontId="5" fillId="2" borderId="2" xfId="2" applyNumberFormat="1" applyFont="1" applyFill="1" applyBorder="1" applyAlignment="1">
      <alignment horizontal="left" vertical="center"/>
    </xf>
    <xf numFmtId="15" fontId="5" fillId="2" borderId="3" xfId="2" applyNumberFormat="1" applyFont="1" applyFill="1" applyBorder="1" applyAlignment="1">
      <alignment horizontal="left" vertical="center"/>
    </xf>
    <xf numFmtId="15" fontId="5" fillId="2" borderId="0" xfId="2" applyNumberFormat="1" applyFont="1" applyFill="1" applyAlignment="1">
      <alignment horizontal="center" vertical="center"/>
    </xf>
    <xf numFmtId="0" fontId="4" fillId="0" borderId="4" xfId="2" applyBorder="1" applyAlignment="1">
      <alignment horizontal="left"/>
    </xf>
    <xf numFmtId="0" fontId="4" fillId="0" borderId="5" xfId="2" applyBorder="1" applyAlignment="1">
      <alignment horizontal="left"/>
    </xf>
    <xf numFmtId="15" fontId="4" fillId="0" borderId="5" xfId="2" applyNumberFormat="1" applyBorder="1" applyAlignment="1">
      <alignment horizontal="right"/>
    </xf>
    <xf numFmtId="0" fontId="4" fillId="0" borderId="5" xfId="2" applyBorder="1" applyAlignment="1">
      <alignment horizontal="right"/>
    </xf>
    <xf numFmtId="164" fontId="0" fillId="0" borderId="5" xfId="3" applyNumberFormat="1" applyFont="1" applyBorder="1" applyAlignment="1">
      <alignment horizontal="right"/>
    </xf>
    <xf numFmtId="164" fontId="0" fillId="0" borderId="5" xfId="3" applyNumberFormat="1" applyFont="1" applyBorder="1" applyAlignment="1">
      <alignment horizontal="left"/>
    </xf>
    <xf numFmtId="164" fontId="0" fillId="0" borderId="6" xfId="3" applyNumberFormat="1" applyFont="1" applyBorder="1" applyAlignment="1">
      <alignment horizontal="left"/>
    </xf>
    <xf numFmtId="164" fontId="4" fillId="0" borderId="0" xfId="2" applyNumberFormat="1"/>
    <xf numFmtId="0" fontId="3" fillId="0" borderId="0" xfId="2" applyFont="1"/>
    <xf numFmtId="15" fontId="5" fillId="2" borderId="3" xfId="2" applyNumberFormat="1" applyFont="1" applyFill="1" applyBorder="1" applyAlignment="1">
      <alignment horizontal="center" vertical="center"/>
    </xf>
    <xf numFmtId="164" fontId="2" fillId="0" borderId="6" xfId="3" applyNumberFormat="1" applyFont="1" applyBorder="1" applyAlignment="1">
      <alignment horizontal="left"/>
    </xf>
    <xf numFmtId="0" fontId="6" fillId="0" borderId="0" xfId="0" applyFont="1" applyAlignment="1">
      <alignment vertical="center"/>
    </xf>
    <xf numFmtId="0" fontId="2" fillId="0" borderId="4" xfId="2" applyFont="1" applyBorder="1" applyAlignment="1">
      <alignment horizontal="left"/>
    </xf>
  </cellXfs>
  <cellStyles count="4">
    <cellStyle name="Comma 2" xfId="3" xr:uid="{77E29F4B-C765-484C-9FCE-CB52FD578C62}"/>
    <cellStyle name="Normal" xfId="0" builtinId="0"/>
    <cellStyle name="Normal 2" xfId="1" xr:uid="{FF381394-336A-484E-B4D7-40F8F47CF7A2}"/>
    <cellStyle name="Normal 3" xfId="2" xr:uid="{A6E80386-E024-408D-8540-739328F14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35E1-F49F-469D-AFEC-F3651FF9436A}">
  <sheetPr>
    <tabColor rgb="FFFFC000"/>
  </sheetPr>
  <dimension ref="A1:EG24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E29" sqref="EE29"/>
    </sheetView>
  </sheetViews>
  <sheetFormatPr defaultRowHeight="14.5" outlineLevelCol="1" x14ac:dyDescent="0.35"/>
  <cols>
    <col min="1" max="2" width="16.36328125" style="4" bestFit="1" customWidth="1"/>
    <col min="3" max="3" width="11.54296875" style="4" hidden="1" customWidth="1" outlineLevel="1"/>
    <col min="4" max="4" width="16.08984375" style="4" hidden="1" customWidth="1" outlineLevel="1"/>
    <col min="5" max="5" width="17.81640625" style="4" hidden="1" customWidth="1" outlineLevel="1"/>
    <col min="6" max="6" width="20" style="4" hidden="1" customWidth="1" outlineLevel="1"/>
    <col min="7" max="7" width="34" style="4" hidden="1" customWidth="1" outlineLevel="1"/>
    <col min="8" max="8" width="18.36328125" style="4" hidden="1" customWidth="1" outlineLevel="1"/>
    <col min="9" max="9" width="25.90625" style="4" hidden="1" customWidth="1" outlineLevel="1"/>
    <col min="10" max="10" width="26.7265625" style="4" hidden="1" customWidth="1" outlineLevel="1"/>
    <col min="11" max="11" width="15.1796875" style="4" hidden="1" customWidth="1" outlineLevel="1"/>
    <col min="12" max="12" width="26.1796875" style="4" hidden="1" customWidth="1" outlineLevel="1"/>
    <col min="13" max="13" width="43.90625" style="4" hidden="1" customWidth="1" outlineLevel="1"/>
    <col min="14" max="14" width="22" style="4" hidden="1" customWidth="1" outlineLevel="1"/>
    <col min="15" max="15" width="18" style="4" hidden="1" customWidth="1" outlineLevel="1"/>
    <col min="16" max="16" width="30.453125" style="4" hidden="1" customWidth="1" outlineLevel="1"/>
    <col min="17" max="17" width="14.36328125" style="4" hidden="1" customWidth="1" outlineLevel="1"/>
    <col min="18" max="18" width="19.7265625" style="4" hidden="1" customWidth="1" outlineLevel="1"/>
    <col min="19" max="19" width="13.54296875" style="4" hidden="1" customWidth="1" outlineLevel="1"/>
    <col min="20" max="20" width="23.81640625" style="4" hidden="1" customWidth="1" outlineLevel="1"/>
    <col min="21" max="22" width="12.90625" style="4" hidden="1" customWidth="1" outlineLevel="1"/>
    <col min="23" max="23" width="11.1796875" style="4" hidden="1" customWidth="1" outlineLevel="1"/>
    <col min="24" max="24" width="19.36328125" style="4" hidden="1" customWidth="1" outlineLevel="1"/>
    <col min="25" max="25" width="16.54296875" style="4" hidden="1" customWidth="1" outlineLevel="1"/>
    <col min="26" max="26" width="16.36328125" style="4" hidden="1" customWidth="1" outlineLevel="1"/>
    <col min="27" max="27" width="22.6328125" style="4" hidden="1" customWidth="1" outlineLevel="1"/>
    <col min="28" max="28" width="16.08984375" style="4" hidden="1" customWidth="1" outlineLevel="1"/>
    <col min="29" max="29" width="22.54296875" style="4" hidden="1" customWidth="1" outlineLevel="1"/>
    <col min="30" max="30" width="11.7265625" style="4" hidden="1" customWidth="1" outlineLevel="1"/>
    <col min="31" max="31" width="15.36328125" style="4" hidden="1" customWidth="1" outlineLevel="1"/>
    <col min="32" max="32" width="11.7265625" style="4" hidden="1" customWidth="1" outlineLevel="1"/>
    <col min="33" max="33" width="14.7265625" style="4" hidden="1" customWidth="1" outlineLevel="1"/>
    <col min="34" max="34" width="20.1796875" style="4" hidden="1" customWidth="1" outlineLevel="1"/>
    <col min="35" max="35" width="26.1796875" style="4" hidden="1" customWidth="1" outlineLevel="1"/>
    <col min="36" max="36" width="27.6328125" style="4" hidden="1" customWidth="1" outlineLevel="1"/>
    <col min="37" max="37" width="33.54296875" style="4" hidden="1" customWidth="1" outlineLevel="1"/>
    <col min="38" max="38" width="24.54296875" style="4" hidden="1" customWidth="1" outlineLevel="1"/>
    <col min="39" max="39" width="30.54296875" style="4" hidden="1" customWidth="1" outlineLevel="1"/>
    <col min="40" max="40" width="16.54296875" style="4" hidden="1" customWidth="1" outlineLevel="1"/>
    <col min="41" max="41" width="22.54296875" style="4" hidden="1" customWidth="1" outlineLevel="1"/>
    <col min="42" max="42" width="16.7265625" style="4" hidden="1" customWidth="1" outlineLevel="1"/>
    <col min="43" max="43" width="24.08984375" style="4" hidden="1" customWidth="1" outlineLevel="1"/>
    <col min="44" max="44" width="21.6328125" style="4" hidden="1" customWidth="1" outlineLevel="1"/>
    <col min="45" max="45" width="14.1796875" style="4" hidden="1" customWidth="1" outlineLevel="1"/>
    <col min="46" max="46" width="24.08984375" style="4" hidden="1" customWidth="1" outlineLevel="1"/>
    <col min="47" max="47" width="10.54296875" style="4" hidden="1" customWidth="1" outlineLevel="1"/>
    <col min="48" max="48" width="20.90625" style="4" hidden="1" customWidth="1" outlineLevel="1"/>
    <col min="49" max="49" width="12.26953125" style="4" hidden="1" customWidth="1" outlineLevel="1"/>
    <col min="50" max="50" width="15.26953125" style="4" hidden="1" customWidth="1" outlineLevel="1"/>
    <col min="51" max="51" width="15.7265625" style="4" hidden="1" customWidth="1" outlineLevel="1"/>
    <col min="52" max="52" width="21.1796875" style="4" hidden="1" customWidth="1" outlineLevel="1"/>
    <col min="53" max="53" width="21.7265625" style="4" hidden="1" customWidth="1" outlineLevel="1"/>
    <col min="54" max="54" width="16" style="4" hidden="1" customWidth="1" outlineLevel="1"/>
    <col min="55" max="55" width="18.26953125" style="4" hidden="1" customWidth="1" outlineLevel="1"/>
    <col min="56" max="56" width="17" style="4" hidden="1" customWidth="1" outlineLevel="1"/>
    <col min="57" max="57" width="20.90625" style="4" hidden="1" customWidth="1" outlineLevel="1"/>
    <col min="58" max="58" width="22.36328125" style="4" hidden="1" customWidth="1" outlineLevel="1"/>
    <col min="59" max="59" width="17.453125" style="4" hidden="1" customWidth="1" outlineLevel="1"/>
    <col min="60" max="60" width="18.36328125" style="4" hidden="1" customWidth="1" outlineLevel="1"/>
    <col min="61" max="61" width="12.08984375" style="4" hidden="1" customWidth="1" outlineLevel="1"/>
    <col min="62" max="62" width="15.36328125" style="4" hidden="1" customWidth="1" outlineLevel="1"/>
    <col min="63" max="63" width="19.36328125" style="4" hidden="1" customWidth="1" outlineLevel="1"/>
    <col min="64" max="64" width="28" style="4" hidden="1" customWidth="1" outlineLevel="1"/>
    <col min="65" max="65" width="24.54296875" style="4" hidden="1" customWidth="1" outlineLevel="1"/>
    <col min="66" max="66" width="26" style="4" hidden="1" customWidth="1" outlineLevel="1"/>
    <col min="67" max="67" width="19.26953125" style="4" hidden="1" customWidth="1" outlineLevel="1"/>
    <col min="68" max="68" width="23.6328125" style="4" hidden="1" customWidth="1" outlineLevel="1"/>
    <col min="69" max="69" width="23.36328125" style="4" hidden="1" customWidth="1" outlineLevel="1"/>
    <col min="70" max="70" width="29.08984375" style="4" hidden="1" customWidth="1" outlineLevel="1"/>
    <col min="71" max="71" width="10.7265625" style="4" hidden="1" customWidth="1" outlineLevel="1"/>
    <col min="72" max="72" width="21.6328125" style="4" hidden="1" customWidth="1" outlineLevel="1"/>
    <col min="73" max="73" width="18.6328125" style="4" hidden="1" customWidth="1" outlineLevel="1"/>
    <col min="74" max="74" width="22.36328125" style="4" hidden="1" customWidth="1" outlineLevel="1"/>
    <col min="75" max="75" width="26.26953125" style="4" hidden="1" customWidth="1" outlineLevel="1"/>
    <col min="76" max="76" width="22.1796875" style="4" hidden="1" customWidth="1" outlineLevel="1"/>
    <col min="77" max="77" width="27.6328125" style="4" hidden="1" customWidth="1" outlineLevel="1"/>
    <col min="78" max="78" width="24.54296875" style="4" hidden="1" customWidth="1" outlineLevel="1"/>
    <col min="79" max="79" width="19.26953125" style="4" hidden="1" customWidth="1" outlineLevel="1"/>
    <col min="80" max="80" width="25.453125" style="4" hidden="1" customWidth="1" outlineLevel="1"/>
    <col min="81" max="81" width="14.26953125" style="4" hidden="1" customWidth="1" outlineLevel="1"/>
    <col min="82" max="82" width="24.54296875" style="4" hidden="1" customWidth="1" outlineLevel="1"/>
    <col min="83" max="83" width="21" style="4" hidden="1" customWidth="1" outlineLevel="1"/>
    <col min="84" max="84" width="16.26953125" style="4" hidden="1" customWidth="1" outlineLevel="1"/>
    <col min="85" max="85" width="24.54296875" style="4" hidden="1" customWidth="1" outlineLevel="1"/>
    <col min="86" max="86" width="17.26953125" style="4" hidden="1" customWidth="1" outlineLevel="1"/>
    <col min="87" max="87" width="17.7265625" style="4" bestFit="1" customWidth="1" collapsed="1"/>
    <col min="88" max="88" width="10.1796875" style="4" hidden="1" customWidth="1" outlineLevel="1"/>
    <col min="89" max="89" width="11.7265625" style="4" hidden="1" customWidth="1" outlineLevel="1"/>
    <col min="90" max="90" width="9.1796875" style="4" hidden="1" customWidth="1" outlineLevel="1"/>
    <col min="91" max="91" width="7.6328125" style="4" hidden="1" customWidth="1" outlineLevel="1"/>
    <col min="92" max="92" width="18.6328125" style="4" hidden="1" customWidth="1" outlineLevel="1"/>
    <col min="93" max="93" width="18.54296875" style="4" hidden="1" customWidth="1" outlineLevel="1"/>
    <col min="94" max="94" width="25.90625" style="4" hidden="1" customWidth="1" outlineLevel="1"/>
    <col min="95" max="95" width="19.453125" style="4" hidden="1" customWidth="1" outlineLevel="1"/>
    <col min="96" max="96" width="8.90625" style="4" hidden="1" customWidth="1" outlineLevel="1"/>
    <col min="97" max="97" width="24.81640625" style="4" hidden="1" customWidth="1" outlineLevel="1"/>
    <col min="98" max="98" width="18.36328125" style="4" hidden="1" customWidth="1" outlineLevel="1"/>
    <col min="99" max="99" width="20.08984375" style="4" hidden="1" customWidth="1" outlineLevel="1"/>
    <col min="100" max="100" width="17" style="4" hidden="1" customWidth="1" outlineLevel="1"/>
    <col min="101" max="101" width="27.26953125" style="4" hidden="1" customWidth="1" outlineLevel="1"/>
    <col min="102" max="102" width="15.90625" style="4" hidden="1" customWidth="1" outlineLevel="1"/>
    <col min="103" max="103" width="20.36328125" style="4" hidden="1" customWidth="1" outlineLevel="1"/>
    <col min="104" max="104" width="22.453125" style="4" hidden="1" customWidth="1" outlineLevel="1"/>
    <col min="105" max="105" width="27.90625" style="4" hidden="1" customWidth="1" outlineLevel="1"/>
    <col min="106" max="106" width="30.26953125" style="4" hidden="1" customWidth="1" outlineLevel="1"/>
    <col min="107" max="107" width="26.26953125" style="4" hidden="1" customWidth="1" outlineLevel="1"/>
    <col min="108" max="108" width="29.7265625" style="4" hidden="1" customWidth="1" outlineLevel="1"/>
    <col min="109" max="109" width="20.90625" style="4" hidden="1" customWidth="1" outlineLevel="1"/>
    <col min="110" max="110" width="24.1796875" style="4" hidden="1" customWidth="1" outlineLevel="1"/>
    <col min="111" max="111" width="22.54296875" style="4" hidden="1" customWidth="1" outlineLevel="1"/>
    <col min="112" max="112" width="21.1796875" style="4" hidden="1" customWidth="1" outlineLevel="1"/>
    <col min="113" max="113" width="23.453125" style="4" hidden="1" customWidth="1" outlineLevel="1"/>
    <col min="114" max="114" width="29.81640625" style="4" hidden="1" customWidth="1" outlineLevel="1"/>
    <col min="115" max="115" width="20.453125" style="4" hidden="1" customWidth="1" outlineLevel="1"/>
    <col min="116" max="116" width="25.90625" style="4" hidden="1" customWidth="1" outlineLevel="1"/>
    <col min="117" max="117" width="19.08984375" style="4" hidden="1" customWidth="1" outlineLevel="1"/>
    <col min="118" max="118" width="18.54296875" style="4" hidden="1" customWidth="1" outlineLevel="1"/>
    <col min="119" max="119" width="24.7265625" style="4" hidden="1" customWidth="1" outlineLevel="1"/>
    <col min="120" max="120" width="11.08984375" style="4" hidden="1" customWidth="1" outlineLevel="1"/>
    <col min="121" max="121" width="25.7265625" style="4" hidden="1" customWidth="1" outlineLevel="1"/>
    <col min="122" max="122" width="19" style="4" hidden="1" customWidth="1" outlineLevel="1"/>
    <col min="123" max="123" width="30.453125" style="4" hidden="1" customWidth="1" outlineLevel="1"/>
    <col min="124" max="124" width="27.1796875" style="4" hidden="1" customWidth="1" outlineLevel="1"/>
    <col min="125" max="125" width="15.6328125" style="4" hidden="1" customWidth="1" outlineLevel="1"/>
    <col min="126" max="126" width="19.26953125" style="4" bestFit="1" customWidth="1" collapsed="1"/>
    <col min="127" max="127" width="12.7265625" style="4" bestFit="1" customWidth="1"/>
    <col min="128" max="128" width="22.36328125" style="4" hidden="1" customWidth="1" outlineLevel="1"/>
    <col min="129" max="129" width="22.81640625" style="4" hidden="1" customWidth="1" outlineLevel="1"/>
    <col min="130" max="130" width="22.1796875" style="4" hidden="1" customWidth="1" outlineLevel="1"/>
    <col min="131" max="131" width="32.453125" style="4" hidden="1" customWidth="1" outlineLevel="1"/>
    <col min="132" max="132" width="22.26953125" style="4" hidden="1" customWidth="1" outlineLevel="1"/>
    <col min="133" max="133" width="37.1796875" style="4" hidden="1" customWidth="1" outlineLevel="1"/>
    <col min="134" max="134" width="20.90625" style="4" hidden="1" customWidth="1" outlineLevel="1"/>
    <col min="135" max="135" width="24.08984375" style="4" bestFit="1" customWidth="1" collapsed="1"/>
    <col min="136" max="136" width="15.36328125" style="4" bestFit="1" customWidth="1"/>
    <col min="137" max="137" width="13.1796875" style="4" bestFit="1" customWidth="1"/>
    <col min="138" max="16384" width="8.7265625" style="4"/>
  </cols>
  <sheetData>
    <row r="1" spans="1:137" x14ac:dyDescent="0.35">
      <c r="A1" s="3" t="s">
        <v>472</v>
      </c>
      <c r="B1" s="3"/>
    </row>
    <row r="2" spans="1:137" x14ac:dyDescent="0.35">
      <c r="A2" s="3" t="s">
        <v>390</v>
      </c>
      <c r="B2" s="3"/>
    </row>
    <row r="3" spans="1:137" s="22" customFormat="1" ht="15" thickBot="1" x14ac:dyDescent="0.4">
      <c r="A3" s="3"/>
      <c r="B3" s="3"/>
      <c r="AD3" s="7">
        <f>SUM(AD5:AD24)</f>
        <v>2233387</v>
      </c>
      <c r="AE3" s="7">
        <f>SUM(AE5:AE24)</f>
        <v>39220</v>
      </c>
      <c r="AF3" s="7">
        <f>SUM(AF5:AF24)</f>
        <v>1114725</v>
      </c>
      <c r="AG3" s="7">
        <f>SUM(AG5:AG24)</f>
        <v>7811</v>
      </c>
      <c r="AH3" s="7">
        <f>SUM(AH5:AH24)</f>
        <v>0</v>
      </c>
      <c r="AI3" s="7">
        <f>SUM(AI5:AI24)</f>
        <v>-627210</v>
      </c>
      <c r="AJ3" s="7">
        <f>SUM(AJ5:AJ24)</f>
        <v>0</v>
      </c>
      <c r="AK3" s="7">
        <f>SUM(AK5:AK24)</f>
        <v>-300</v>
      </c>
      <c r="AL3" s="7">
        <f>SUM(AL5:AL24)</f>
        <v>0</v>
      </c>
      <c r="AM3" s="7">
        <f>SUM(AM5:AM24)</f>
        <v>-600</v>
      </c>
      <c r="AN3" s="7">
        <f>SUM(AN5:AN24)</f>
        <v>10858</v>
      </c>
      <c r="AO3" s="7">
        <f>SUM(AO5:AO24)</f>
        <v>6673</v>
      </c>
      <c r="AP3" s="7">
        <f>SUM(AP5:AP24)</f>
        <v>0</v>
      </c>
      <c r="AQ3" s="7">
        <f>SUM(AQ5:AQ24)</f>
        <v>5000</v>
      </c>
      <c r="AR3" s="7">
        <f>SUM(AR5:AR24)</f>
        <v>0</v>
      </c>
      <c r="AS3" s="7">
        <f>SUM(AS5:AS24)</f>
        <v>0</v>
      </c>
      <c r="AT3" s="7">
        <f>SUM(AT5:AT24)</f>
        <v>0</v>
      </c>
      <c r="AU3" s="7">
        <f>SUM(AU5:AU24)</f>
        <v>0</v>
      </c>
      <c r="AV3" s="7">
        <f>SUM(AV5:AV24)</f>
        <v>0</v>
      </c>
      <c r="AW3" s="7">
        <f>SUM(AW5:AW24)</f>
        <v>0</v>
      </c>
      <c r="AX3" s="7">
        <f>SUM(AX5:AX24)</f>
        <v>0</v>
      </c>
      <c r="AY3" s="7">
        <f>SUM(AY5:AY24)</f>
        <v>0</v>
      </c>
      <c r="AZ3" s="7">
        <f>SUM(AZ5:AZ24)</f>
        <v>0</v>
      </c>
      <c r="BA3" s="7">
        <f>SUM(BA5:BA24)</f>
        <v>0</v>
      </c>
      <c r="BB3" s="7">
        <f>SUM(BB5:BB24)</f>
        <v>0</v>
      </c>
      <c r="BC3" s="7">
        <f>SUM(BC5:BC24)</f>
        <v>0</v>
      </c>
      <c r="BD3" s="7">
        <f>SUM(BD5:BD24)</f>
        <v>0</v>
      </c>
      <c r="BE3" s="7">
        <f>SUM(BE5:BE24)</f>
        <v>0</v>
      </c>
      <c r="BF3" s="7">
        <f>SUM(BF5:BF24)</f>
        <v>0</v>
      </c>
      <c r="BG3" s="7">
        <f>SUM(BG5:BG24)</f>
        <v>0</v>
      </c>
      <c r="BH3" s="7">
        <f>SUM(BH5:BH24)</f>
        <v>0</v>
      </c>
      <c r="BI3" s="7">
        <f>SUM(BI5:BI24)</f>
        <v>0</v>
      </c>
      <c r="BJ3" s="7">
        <f>SUM(BJ5:BJ24)</f>
        <v>0</v>
      </c>
      <c r="BK3" s="7">
        <f>SUM(BK5:BK24)</f>
        <v>0</v>
      </c>
      <c r="BL3" s="7">
        <f>SUM(BL5:BL24)</f>
        <v>0</v>
      </c>
      <c r="BM3" s="7">
        <f>SUM(BM5:BM24)</f>
        <v>1357113</v>
      </c>
      <c r="BN3" s="7">
        <f>SUM(BN5:BN24)</f>
        <v>0</v>
      </c>
      <c r="BO3" s="7">
        <f>SUM(BO5:BO24)</f>
        <v>0</v>
      </c>
      <c r="BP3" s="7">
        <f>SUM(BP5:BP24)</f>
        <v>0</v>
      </c>
      <c r="BQ3" s="7">
        <f>SUM(BQ5:BQ24)</f>
        <v>0</v>
      </c>
      <c r="BR3" s="7">
        <f>SUM(BR5:BR24)</f>
        <v>0</v>
      </c>
      <c r="BS3" s="7">
        <f>SUM(BS5:BS24)</f>
        <v>0</v>
      </c>
      <c r="BT3" s="7">
        <f>SUM(BT5:BT24)</f>
        <v>0</v>
      </c>
      <c r="BU3" s="7">
        <f>SUM(BU5:BU24)</f>
        <v>0</v>
      </c>
      <c r="BV3" s="7">
        <f>SUM(BV5:BV24)</f>
        <v>0</v>
      </c>
      <c r="BW3" s="7">
        <f>SUM(BW5:BW24)</f>
        <v>0</v>
      </c>
      <c r="BX3" s="7">
        <f>SUM(BX5:BX24)</f>
        <v>0</v>
      </c>
      <c r="BY3" s="7">
        <f>SUM(BY5:BY24)</f>
        <v>0</v>
      </c>
      <c r="BZ3" s="7">
        <f>SUM(BZ5:BZ24)</f>
        <v>0</v>
      </c>
      <c r="CA3" s="7">
        <f>SUM(CA5:CA24)</f>
        <v>0</v>
      </c>
      <c r="CB3" s="7">
        <f>SUM(CB5:CB24)</f>
        <v>0</v>
      </c>
      <c r="CC3" s="7">
        <f>SUM(CC5:CC24)</f>
        <v>0</v>
      </c>
      <c r="CD3" s="7">
        <f>SUM(CD5:CD24)</f>
        <v>0</v>
      </c>
      <c r="CE3" s="7">
        <f>SUM(CE5:CE24)</f>
        <v>0</v>
      </c>
      <c r="CF3" s="7">
        <f>SUM(CF5:CF24)</f>
        <v>0</v>
      </c>
      <c r="CG3" s="7">
        <f>SUM(CG5:CG24)</f>
        <v>0</v>
      </c>
      <c r="CH3" s="7">
        <f>SUM(CH5:CH24)</f>
        <v>24479</v>
      </c>
      <c r="CI3" s="7">
        <f>SUM(CI5:CI24)</f>
        <v>4171156</v>
      </c>
      <c r="CJ3" s="7">
        <f>SUM(CJ5:CJ24)</f>
        <v>272713</v>
      </c>
      <c r="CK3" s="7">
        <f>SUM(CK5:CK24)</f>
        <v>701845</v>
      </c>
      <c r="CL3" s="7">
        <f>SUM(CL5:CL24)</f>
        <v>0</v>
      </c>
      <c r="CM3" s="7">
        <f>SUM(CM5:CM24)</f>
        <v>2032</v>
      </c>
      <c r="CN3" s="7">
        <f>SUM(CN5:CN24)</f>
        <v>0</v>
      </c>
      <c r="CO3" s="7">
        <f>SUM(CO5:CO24)</f>
        <v>0</v>
      </c>
      <c r="CP3" s="7">
        <f>SUM(CP5:CP24)</f>
        <v>17531</v>
      </c>
      <c r="CQ3" s="7">
        <f>SUM(CQ5:CQ24)</f>
        <v>0</v>
      </c>
      <c r="CR3" s="7">
        <f>SUM(CR5:CR24)</f>
        <v>273</v>
      </c>
      <c r="CS3" s="7">
        <f>SUM(CS5:CS24)</f>
        <v>0</v>
      </c>
      <c r="CT3" s="7">
        <f>SUM(CT5:CT24)</f>
        <v>24479</v>
      </c>
      <c r="CU3" s="7">
        <f>SUM(CU5:CU24)</f>
        <v>0</v>
      </c>
      <c r="CV3" s="7">
        <f>SUM(CV5:CV24)</f>
        <v>0</v>
      </c>
      <c r="CW3" s="7">
        <f>SUM(CW5:CW24)</f>
        <v>0</v>
      </c>
      <c r="CX3" s="7">
        <f>SUM(CX5:CX24)</f>
        <v>0</v>
      </c>
      <c r="CY3" s="7">
        <f>SUM(CY5:CY24)</f>
        <v>0</v>
      </c>
      <c r="CZ3" s="7">
        <f>SUM(CZ5:CZ24)</f>
        <v>0</v>
      </c>
      <c r="DA3" s="7">
        <f>SUM(DA5:DA24)</f>
        <v>0</v>
      </c>
      <c r="DB3" s="7">
        <f>SUM(DB5:DB24)</f>
        <v>0</v>
      </c>
      <c r="DC3" s="7">
        <f>SUM(DC5:DC24)</f>
        <v>0</v>
      </c>
      <c r="DD3" s="7">
        <f>SUM(DD5:DD24)</f>
        <v>0</v>
      </c>
      <c r="DE3" s="7">
        <f>SUM(DE5:DE24)</f>
        <v>0</v>
      </c>
      <c r="DF3" s="7">
        <f>SUM(DF5:DF24)</f>
        <v>0</v>
      </c>
      <c r="DG3" s="7">
        <f>SUM(DG5:DG24)</f>
        <v>0</v>
      </c>
      <c r="DH3" s="7">
        <f>SUM(DH5:DH24)</f>
        <v>0</v>
      </c>
      <c r="DI3" s="7">
        <f>SUM(DI5:DI24)</f>
        <v>0</v>
      </c>
      <c r="DJ3" s="7">
        <f>SUM(DJ5:DJ24)</f>
        <v>0</v>
      </c>
      <c r="DK3" s="7">
        <f>SUM(DK5:DK24)</f>
        <v>0</v>
      </c>
      <c r="DL3" s="7">
        <f>SUM(DL5:DL24)</f>
        <v>0</v>
      </c>
      <c r="DM3" s="7">
        <f>SUM(DM5:DM24)</f>
        <v>0</v>
      </c>
      <c r="DN3" s="7">
        <f>SUM(DN5:DN24)</f>
        <v>0</v>
      </c>
      <c r="DO3" s="7">
        <f>SUM(DO5:DO24)</f>
        <v>0</v>
      </c>
      <c r="DP3" s="7">
        <f>SUM(DP5:DP24)</f>
        <v>0</v>
      </c>
      <c r="DQ3" s="7">
        <f>SUM(DQ5:DQ24)</f>
        <v>0</v>
      </c>
      <c r="DR3" s="7">
        <f>SUM(DR5:DR24)</f>
        <v>0</v>
      </c>
      <c r="DS3" s="7">
        <f>SUM(DS5:DS24)</f>
        <v>0</v>
      </c>
      <c r="DT3" s="7">
        <f>SUM(DT5:DT24)</f>
        <v>0</v>
      </c>
      <c r="DU3" s="7">
        <f>SUM(DU5:DU24)</f>
        <v>0</v>
      </c>
      <c r="DV3" s="7">
        <f>SUM(DV5:DV24)</f>
        <v>1018873</v>
      </c>
      <c r="DW3" s="7">
        <f>SUM(DW5:DW24)</f>
        <v>3152283</v>
      </c>
      <c r="DX3" s="7">
        <f>SUM(DX5:DX24)</f>
        <v>0</v>
      </c>
      <c r="DY3" s="7">
        <f>SUM(DY5:DY24)</f>
        <v>0</v>
      </c>
      <c r="DZ3" s="7">
        <f>SUM(DZ5:DZ24)</f>
        <v>0</v>
      </c>
      <c r="EA3" s="7">
        <f>SUM(EA5:EA24)</f>
        <v>0</v>
      </c>
      <c r="EB3" s="7">
        <f>SUM(EB5:EB24)</f>
        <v>0</v>
      </c>
      <c r="EC3" s="7">
        <f>SUM(EC5:EC24)</f>
        <v>0</v>
      </c>
      <c r="ED3" s="7">
        <f>SUM(ED5:ED24)</f>
        <v>0</v>
      </c>
      <c r="EE3" s="7">
        <f>SUM(EE5:EE24)</f>
        <v>0</v>
      </c>
      <c r="EF3" s="7">
        <f>SUM(EF5:EF24)</f>
        <v>3152283</v>
      </c>
    </row>
    <row r="4" spans="1:137" x14ac:dyDescent="0.35">
      <c r="A4" s="8" t="s">
        <v>16</v>
      </c>
      <c r="B4" s="8" t="s">
        <v>17</v>
      </c>
      <c r="C4" s="9" t="s">
        <v>18</v>
      </c>
      <c r="D4" s="10" t="s">
        <v>19</v>
      </c>
      <c r="E4" s="10" t="s">
        <v>20</v>
      </c>
      <c r="F4" s="10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  <c r="AH4" s="9" t="s">
        <v>49</v>
      </c>
      <c r="AI4" s="9" t="s">
        <v>50</v>
      </c>
      <c r="AJ4" s="9" t="s">
        <v>51</v>
      </c>
      <c r="AK4" s="9" t="s">
        <v>52</v>
      </c>
      <c r="AL4" s="9" t="s">
        <v>53</v>
      </c>
      <c r="AM4" s="9" t="s">
        <v>54</v>
      </c>
      <c r="AN4" s="9" t="s">
        <v>55</v>
      </c>
      <c r="AO4" s="9" t="s">
        <v>56</v>
      </c>
      <c r="AP4" s="9" t="s">
        <v>57</v>
      </c>
      <c r="AQ4" s="9" t="s">
        <v>58</v>
      </c>
      <c r="AR4" s="9" t="s">
        <v>59</v>
      </c>
      <c r="AS4" s="9" t="s">
        <v>60</v>
      </c>
      <c r="AT4" s="9" t="s">
        <v>61</v>
      </c>
      <c r="AU4" s="9" t="s">
        <v>62</v>
      </c>
      <c r="AV4" s="9" t="s">
        <v>63</v>
      </c>
      <c r="AW4" s="9" t="s">
        <v>64</v>
      </c>
      <c r="AX4" s="9" t="s">
        <v>65</v>
      </c>
      <c r="AY4" s="9" t="s">
        <v>66</v>
      </c>
      <c r="AZ4" s="9" t="s">
        <v>67</v>
      </c>
      <c r="BA4" s="9" t="s">
        <v>68</v>
      </c>
      <c r="BB4" s="9" t="s">
        <v>69</v>
      </c>
      <c r="BC4" s="9" t="s">
        <v>70</v>
      </c>
      <c r="BD4" s="9" t="s">
        <v>71</v>
      </c>
      <c r="BE4" s="9" t="s">
        <v>72</v>
      </c>
      <c r="BF4" s="9" t="s">
        <v>73</v>
      </c>
      <c r="BG4" s="9" t="s">
        <v>74</v>
      </c>
      <c r="BH4" s="9" t="s">
        <v>75</v>
      </c>
      <c r="BI4" s="9" t="s">
        <v>76</v>
      </c>
      <c r="BJ4" s="9" t="s">
        <v>77</v>
      </c>
      <c r="BK4" s="9" t="s">
        <v>78</v>
      </c>
      <c r="BL4" s="9" t="s">
        <v>79</v>
      </c>
      <c r="BM4" s="9" t="s">
        <v>80</v>
      </c>
      <c r="BN4" s="9" t="s">
        <v>81</v>
      </c>
      <c r="BO4" s="9" t="s">
        <v>82</v>
      </c>
      <c r="BP4" s="9" t="s">
        <v>83</v>
      </c>
      <c r="BQ4" s="9" t="s">
        <v>84</v>
      </c>
      <c r="BR4" s="9" t="s">
        <v>85</v>
      </c>
      <c r="BS4" s="9" t="s">
        <v>86</v>
      </c>
      <c r="BT4" s="9" t="s">
        <v>87</v>
      </c>
      <c r="BU4" s="9" t="s">
        <v>88</v>
      </c>
      <c r="BV4" s="9" t="s">
        <v>89</v>
      </c>
      <c r="BW4" s="9" t="s">
        <v>90</v>
      </c>
      <c r="BX4" s="9" t="s">
        <v>91</v>
      </c>
      <c r="BY4" s="9" t="s">
        <v>92</v>
      </c>
      <c r="BZ4" s="9" t="s">
        <v>93</v>
      </c>
      <c r="CA4" s="9" t="s">
        <v>94</v>
      </c>
      <c r="CB4" s="9" t="s">
        <v>95</v>
      </c>
      <c r="CC4" s="9" t="s">
        <v>96</v>
      </c>
      <c r="CD4" s="9" t="s">
        <v>97</v>
      </c>
      <c r="CE4" s="9" t="s">
        <v>98</v>
      </c>
      <c r="CF4" s="9" t="s">
        <v>99</v>
      </c>
      <c r="CG4" s="9" t="s">
        <v>100</v>
      </c>
      <c r="CH4" s="9" t="s">
        <v>101</v>
      </c>
      <c r="CI4" s="9" t="s">
        <v>102</v>
      </c>
      <c r="CJ4" s="9" t="s">
        <v>103</v>
      </c>
      <c r="CK4" s="9" t="s">
        <v>104</v>
      </c>
      <c r="CL4" s="9" t="s">
        <v>105</v>
      </c>
      <c r="CM4" s="9" t="s">
        <v>106</v>
      </c>
      <c r="CN4" s="9" t="s">
        <v>107</v>
      </c>
      <c r="CO4" s="9" t="s">
        <v>108</v>
      </c>
      <c r="CP4" s="9" t="s">
        <v>109</v>
      </c>
      <c r="CQ4" s="9" t="s">
        <v>110</v>
      </c>
      <c r="CR4" s="9" t="s">
        <v>111</v>
      </c>
      <c r="CS4" s="9" t="s">
        <v>112</v>
      </c>
      <c r="CT4" s="9" t="s">
        <v>113</v>
      </c>
      <c r="CU4" s="9" t="s">
        <v>114</v>
      </c>
      <c r="CV4" s="9" t="s">
        <v>115</v>
      </c>
      <c r="CW4" s="9" t="s">
        <v>116</v>
      </c>
      <c r="CX4" s="9" t="s">
        <v>117</v>
      </c>
      <c r="CY4" s="9" t="s">
        <v>118</v>
      </c>
      <c r="CZ4" s="9" t="s">
        <v>119</v>
      </c>
      <c r="DA4" s="9" t="s">
        <v>120</v>
      </c>
      <c r="DB4" s="9" t="s">
        <v>121</v>
      </c>
      <c r="DC4" s="9" t="s">
        <v>122</v>
      </c>
      <c r="DD4" s="9" t="s">
        <v>123</v>
      </c>
      <c r="DE4" s="9" t="s">
        <v>124</v>
      </c>
      <c r="DF4" s="9" t="s">
        <v>125</v>
      </c>
      <c r="DG4" s="9" t="s">
        <v>126</v>
      </c>
      <c r="DH4" s="9" t="s">
        <v>127</v>
      </c>
      <c r="DI4" s="9" t="s">
        <v>128</v>
      </c>
      <c r="DJ4" s="9" t="s">
        <v>129</v>
      </c>
      <c r="DK4" s="9" t="s">
        <v>130</v>
      </c>
      <c r="DL4" s="9" t="s">
        <v>131</v>
      </c>
      <c r="DM4" s="9" t="s">
        <v>132</v>
      </c>
      <c r="DN4" s="9" t="s">
        <v>133</v>
      </c>
      <c r="DO4" s="9" t="s">
        <v>134</v>
      </c>
      <c r="DP4" s="9" t="s">
        <v>135</v>
      </c>
      <c r="DQ4" s="9" t="s">
        <v>136</v>
      </c>
      <c r="DR4" s="9" t="s">
        <v>137</v>
      </c>
      <c r="DS4" s="9" t="s">
        <v>138</v>
      </c>
      <c r="DT4" s="9" t="s">
        <v>139</v>
      </c>
      <c r="DU4" s="9" t="s">
        <v>140</v>
      </c>
      <c r="DV4" s="9" t="s">
        <v>141</v>
      </c>
      <c r="DW4" s="9" t="s">
        <v>142</v>
      </c>
      <c r="DX4" s="9" t="s">
        <v>143</v>
      </c>
      <c r="DY4" s="9" t="s">
        <v>144</v>
      </c>
      <c r="DZ4" s="9" t="s">
        <v>145</v>
      </c>
      <c r="EA4" s="10" t="s">
        <v>146</v>
      </c>
      <c r="EB4" s="10" t="s">
        <v>147</v>
      </c>
      <c r="EC4" s="10" t="s">
        <v>148</v>
      </c>
      <c r="ED4" s="10" t="s">
        <v>149</v>
      </c>
      <c r="EE4" s="10" t="s">
        <v>150</v>
      </c>
      <c r="EF4" s="10" t="s">
        <v>151</v>
      </c>
      <c r="EG4" s="23" t="s">
        <v>152</v>
      </c>
    </row>
    <row r="5" spans="1:137" x14ac:dyDescent="0.35">
      <c r="A5" s="26">
        <v>1111</v>
      </c>
      <c r="B5" s="26" t="s">
        <v>452</v>
      </c>
      <c r="C5" s="15" t="s">
        <v>160</v>
      </c>
      <c r="D5" s="16" t="s">
        <v>391</v>
      </c>
      <c r="E5" s="16" t="s">
        <v>392</v>
      </c>
      <c r="F5" s="16"/>
      <c r="G5" s="15" t="s">
        <v>161</v>
      </c>
      <c r="H5" s="15" t="s">
        <v>162</v>
      </c>
      <c r="I5" s="15" t="s">
        <v>163</v>
      </c>
      <c r="J5" s="15" t="s">
        <v>163</v>
      </c>
      <c r="K5" s="15" t="s">
        <v>164</v>
      </c>
      <c r="L5" s="15" t="s">
        <v>165</v>
      </c>
      <c r="M5" s="15" t="s">
        <v>166</v>
      </c>
      <c r="N5" s="15" t="s">
        <v>167</v>
      </c>
      <c r="O5" s="15" t="s">
        <v>168</v>
      </c>
      <c r="P5" s="15" t="s">
        <v>169</v>
      </c>
      <c r="Q5" s="15" t="s">
        <v>170</v>
      </c>
      <c r="R5" s="15" t="s">
        <v>171</v>
      </c>
      <c r="S5" s="15" t="s">
        <v>172</v>
      </c>
      <c r="T5" s="15" t="s">
        <v>173</v>
      </c>
      <c r="U5" s="15" t="s">
        <v>174</v>
      </c>
      <c r="V5" s="17" t="s">
        <v>175</v>
      </c>
      <c r="W5" s="15" t="s">
        <v>175</v>
      </c>
      <c r="X5" s="15" t="s">
        <v>175</v>
      </c>
      <c r="Y5" s="17">
        <v>31</v>
      </c>
      <c r="Z5" s="17">
        <v>31</v>
      </c>
      <c r="AA5" s="17">
        <v>0</v>
      </c>
      <c r="AB5" s="17">
        <v>1</v>
      </c>
      <c r="AC5" s="17">
        <v>0</v>
      </c>
      <c r="AD5" s="18">
        <v>642932</v>
      </c>
      <c r="AE5" s="18">
        <v>20740</v>
      </c>
      <c r="AF5" s="18">
        <v>321466</v>
      </c>
      <c r="AG5" s="18">
        <v>10370</v>
      </c>
      <c r="AH5" s="18">
        <v>0</v>
      </c>
      <c r="AI5" s="18">
        <v>-236433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488628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1247703</v>
      </c>
      <c r="CJ5" s="18">
        <v>79641</v>
      </c>
      <c r="CK5" s="18">
        <v>394953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39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474633</v>
      </c>
      <c r="DW5" s="18">
        <v>773070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>
        <v>773070</v>
      </c>
      <c r="EG5" s="24" t="s">
        <v>176</v>
      </c>
    </row>
    <row r="6" spans="1:137" x14ac:dyDescent="0.35">
      <c r="A6" s="14">
        <f>A5+300</f>
        <v>1411</v>
      </c>
      <c r="B6" s="14" t="s">
        <v>453</v>
      </c>
      <c r="C6" s="15" t="s">
        <v>160</v>
      </c>
      <c r="D6" s="16" t="s">
        <v>393</v>
      </c>
      <c r="E6" s="16" t="s">
        <v>394</v>
      </c>
      <c r="F6" s="16"/>
      <c r="G6" s="15" t="s">
        <v>178</v>
      </c>
      <c r="H6" s="15" t="s">
        <v>179</v>
      </c>
      <c r="I6" s="15" t="s">
        <v>180</v>
      </c>
      <c r="J6" s="15" t="s">
        <v>180</v>
      </c>
      <c r="K6" s="15" t="s">
        <v>181</v>
      </c>
      <c r="L6" s="15" t="s">
        <v>165</v>
      </c>
      <c r="M6" s="15" t="s">
        <v>182</v>
      </c>
      <c r="N6" s="15" t="s">
        <v>167</v>
      </c>
      <c r="O6" s="15" t="s">
        <v>168</v>
      </c>
      <c r="P6" s="15" t="s">
        <v>183</v>
      </c>
      <c r="Q6" s="15" t="s">
        <v>184</v>
      </c>
      <c r="R6" s="15" t="s">
        <v>185</v>
      </c>
      <c r="S6" s="15" t="s">
        <v>186</v>
      </c>
      <c r="T6" s="15" t="s">
        <v>187</v>
      </c>
      <c r="U6" s="15" t="s">
        <v>188</v>
      </c>
      <c r="V6" s="17" t="s">
        <v>175</v>
      </c>
      <c r="W6" s="15" t="s">
        <v>175</v>
      </c>
      <c r="X6" s="15" t="s">
        <v>175</v>
      </c>
      <c r="Y6" s="17">
        <v>31</v>
      </c>
      <c r="Z6" s="17">
        <v>31</v>
      </c>
      <c r="AA6" s="17">
        <v>0</v>
      </c>
      <c r="AB6" s="17">
        <v>0</v>
      </c>
      <c r="AC6" s="17">
        <v>0</v>
      </c>
      <c r="AD6" s="18">
        <v>28281</v>
      </c>
      <c r="AE6" s="18">
        <v>0</v>
      </c>
      <c r="AF6" s="18">
        <v>14141</v>
      </c>
      <c r="AG6" s="18">
        <v>0</v>
      </c>
      <c r="AH6" s="18">
        <v>0</v>
      </c>
      <c r="AI6" s="18">
        <v>-10747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21494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53169</v>
      </c>
      <c r="CJ6" s="18">
        <v>3394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39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3433</v>
      </c>
      <c r="DW6" s="18">
        <v>49736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49736</v>
      </c>
      <c r="EG6" s="24" t="s">
        <v>176</v>
      </c>
    </row>
    <row r="7" spans="1:137" x14ac:dyDescent="0.35">
      <c r="A7" s="14">
        <f t="shared" ref="A7:A24" si="0">A6+300</f>
        <v>1711</v>
      </c>
      <c r="B7" s="14" t="s">
        <v>454</v>
      </c>
      <c r="C7" s="15" t="s">
        <v>189</v>
      </c>
      <c r="D7" s="16" t="s">
        <v>395</v>
      </c>
      <c r="E7" s="16" t="s">
        <v>394</v>
      </c>
      <c r="F7" s="16"/>
      <c r="G7" s="15" t="s">
        <v>190</v>
      </c>
      <c r="H7" s="15" t="s">
        <v>191</v>
      </c>
      <c r="I7" s="15" t="s">
        <v>180</v>
      </c>
      <c r="J7" s="15" t="s">
        <v>192</v>
      </c>
      <c r="K7" s="15" t="s">
        <v>193</v>
      </c>
      <c r="L7" s="15" t="s">
        <v>194</v>
      </c>
      <c r="M7" s="15" t="s">
        <v>195</v>
      </c>
      <c r="N7" s="15" t="s">
        <v>196</v>
      </c>
      <c r="O7" s="15" t="s">
        <v>197</v>
      </c>
      <c r="P7" s="15" t="s">
        <v>183</v>
      </c>
      <c r="Q7" s="15" t="s">
        <v>198</v>
      </c>
      <c r="R7" s="15" t="s">
        <v>199</v>
      </c>
      <c r="S7" s="15" t="s">
        <v>200</v>
      </c>
      <c r="T7" s="15" t="s">
        <v>201</v>
      </c>
      <c r="U7" s="15" t="s">
        <v>202</v>
      </c>
      <c r="V7" s="17" t="s">
        <v>175</v>
      </c>
      <c r="W7" s="15" t="s">
        <v>175</v>
      </c>
      <c r="X7" s="15" t="s">
        <v>175</v>
      </c>
      <c r="Y7" s="17">
        <v>31</v>
      </c>
      <c r="Z7" s="17">
        <v>31</v>
      </c>
      <c r="AA7" s="17">
        <v>0</v>
      </c>
      <c r="AB7" s="17">
        <v>0</v>
      </c>
      <c r="AC7" s="17">
        <v>0</v>
      </c>
      <c r="AD7" s="18">
        <v>61847</v>
      </c>
      <c r="AE7" s="18">
        <v>0</v>
      </c>
      <c r="AF7" s="18">
        <v>30924</v>
      </c>
      <c r="AG7" s="18">
        <v>0</v>
      </c>
      <c r="AH7" s="18">
        <v>0</v>
      </c>
      <c r="AI7" s="18">
        <v>-23501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47002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116272</v>
      </c>
      <c r="CJ7" s="18">
        <v>7422</v>
      </c>
      <c r="CK7" s="18">
        <v>7056</v>
      </c>
      <c r="CL7" s="18">
        <v>0</v>
      </c>
      <c r="CM7" s="18">
        <v>200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14678</v>
      </c>
      <c r="DW7" s="18">
        <v>101594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101594</v>
      </c>
      <c r="EG7" s="24" t="s">
        <v>176</v>
      </c>
    </row>
    <row r="8" spans="1:137" x14ac:dyDescent="0.35">
      <c r="A8" s="14">
        <f t="shared" si="0"/>
        <v>2011</v>
      </c>
      <c r="B8" s="14" t="s">
        <v>455</v>
      </c>
      <c r="C8" s="15" t="s">
        <v>189</v>
      </c>
      <c r="D8" s="16" t="s">
        <v>396</v>
      </c>
      <c r="E8" s="16" t="s">
        <v>397</v>
      </c>
      <c r="F8" s="16"/>
      <c r="G8" s="15" t="s">
        <v>203</v>
      </c>
      <c r="H8" s="15" t="s">
        <v>191</v>
      </c>
      <c r="I8" s="15" t="s">
        <v>180</v>
      </c>
      <c r="J8" s="15" t="s">
        <v>192</v>
      </c>
      <c r="K8" s="15" t="s">
        <v>204</v>
      </c>
      <c r="L8" s="15" t="s">
        <v>205</v>
      </c>
      <c r="M8" s="15" t="s">
        <v>206</v>
      </c>
      <c r="N8" s="15" t="s">
        <v>207</v>
      </c>
      <c r="O8" s="15" t="s">
        <v>208</v>
      </c>
      <c r="P8" s="15" t="s">
        <v>183</v>
      </c>
      <c r="Q8" s="15" t="s">
        <v>209</v>
      </c>
      <c r="R8" s="15" t="s">
        <v>210</v>
      </c>
      <c r="S8" s="15" t="s">
        <v>211</v>
      </c>
      <c r="T8" s="15" t="s">
        <v>212</v>
      </c>
      <c r="U8" s="15" t="s">
        <v>213</v>
      </c>
      <c r="V8" s="17" t="s">
        <v>175</v>
      </c>
      <c r="W8" s="15" t="s">
        <v>175</v>
      </c>
      <c r="X8" s="15" t="s">
        <v>175</v>
      </c>
      <c r="Y8" s="17">
        <v>31</v>
      </c>
      <c r="Z8" s="17">
        <v>31</v>
      </c>
      <c r="AA8" s="17">
        <v>0</v>
      </c>
      <c r="AB8" s="17">
        <v>0</v>
      </c>
      <c r="AC8" s="17">
        <v>0</v>
      </c>
      <c r="AD8" s="18">
        <v>65468</v>
      </c>
      <c r="AE8" s="18">
        <v>0</v>
      </c>
      <c r="AF8" s="18">
        <v>32734</v>
      </c>
      <c r="AG8" s="18">
        <v>0</v>
      </c>
      <c r="AH8" s="18">
        <v>0</v>
      </c>
      <c r="AI8" s="18">
        <v>-24877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49754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123079</v>
      </c>
      <c r="CJ8" s="18">
        <v>7856</v>
      </c>
      <c r="CK8" s="18">
        <v>7825</v>
      </c>
      <c r="CL8" s="18">
        <v>0</v>
      </c>
      <c r="CM8" s="18">
        <v>208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15889</v>
      </c>
      <c r="DW8" s="18">
        <v>107190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107190</v>
      </c>
      <c r="EG8" s="24" t="s">
        <v>176</v>
      </c>
    </row>
    <row r="9" spans="1:137" x14ac:dyDescent="0.35">
      <c r="A9" s="14">
        <f t="shared" si="0"/>
        <v>2311</v>
      </c>
      <c r="B9" s="14" t="s">
        <v>456</v>
      </c>
      <c r="C9" s="15" t="s">
        <v>160</v>
      </c>
      <c r="D9" s="16" t="s">
        <v>398</v>
      </c>
      <c r="E9" s="16" t="s">
        <v>399</v>
      </c>
      <c r="F9" s="16"/>
      <c r="G9" s="15" t="s">
        <v>214</v>
      </c>
      <c r="H9" s="15" t="s">
        <v>215</v>
      </c>
      <c r="I9" s="15" t="s">
        <v>216</v>
      </c>
      <c r="J9" s="15" t="s">
        <v>217</v>
      </c>
      <c r="K9" s="15" t="s">
        <v>218</v>
      </c>
      <c r="L9" s="15" t="s">
        <v>165</v>
      </c>
      <c r="M9" s="15" t="s">
        <v>219</v>
      </c>
      <c r="N9" s="15" t="s">
        <v>167</v>
      </c>
      <c r="O9" s="15" t="s">
        <v>168</v>
      </c>
      <c r="P9" s="15" t="s">
        <v>169</v>
      </c>
      <c r="Q9" s="15" t="s">
        <v>220</v>
      </c>
      <c r="R9" s="15" t="s">
        <v>221</v>
      </c>
      <c r="S9" s="15" t="s">
        <v>222</v>
      </c>
      <c r="T9" s="15" t="s">
        <v>223</v>
      </c>
      <c r="U9" s="15" t="s">
        <v>224</v>
      </c>
      <c r="V9" s="17" t="s">
        <v>175</v>
      </c>
      <c r="W9" s="15" t="s">
        <v>175</v>
      </c>
      <c r="X9" s="15" t="s">
        <v>175</v>
      </c>
      <c r="Y9" s="17">
        <v>31</v>
      </c>
      <c r="Z9" s="17">
        <v>31</v>
      </c>
      <c r="AA9" s="17">
        <v>0</v>
      </c>
      <c r="AB9" s="17">
        <v>0</v>
      </c>
      <c r="AC9" s="17">
        <v>0</v>
      </c>
      <c r="AD9" s="18">
        <v>44457</v>
      </c>
      <c r="AE9" s="18">
        <v>0</v>
      </c>
      <c r="AF9" s="18">
        <v>22229</v>
      </c>
      <c r="AG9" s="18">
        <v>0</v>
      </c>
      <c r="AH9" s="18">
        <v>0</v>
      </c>
      <c r="AI9" s="18">
        <v>-16892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5000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33784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88578</v>
      </c>
      <c r="CJ9" s="18">
        <v>5335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39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5374</v>
      </c>
      <c r="DW9" s="18">
        <v>83204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>
        <v>83204</v>
      </c>
      <c r="EG9" s="24" t="s">
        <v>176</v>
      </c>
    </row>
    <row r="10" spans="1:137" x14ac:dyDescent="0.35">
      <c r="A10" s="14">
        <f t="shared" si="0"/>
        <v>2611</v>
      </c>
      <c r="B10" s="14" t="s">
        <v>457</v>
      </c>
      <c r="C10" s="15" t="s">
        <v>189</v>
      </c>
      <c r="D10" s="16" t="s">
        <v>400</v>
      </c>
      <c r="E10" s="16" t="s">
        <v>401</v>
      </c>
      <c r="F10" s="16"/>
      <c r="G10" s="15" t="s">
        <v>225</v>
      </c>
      <c r="H10" s="15" t="s">
        <v>179</v>
      </c>
      <c r="I10" s="15" t="s">
        <v>180</v>
      </c>
      <c r="J10" s="15" t="s">
        <v>226</v>
      </c>
      <c r="K10" s="15" t="s">
        <v>227</v>
      </c>
      <c r="L10" s="15" t="s">
        <v>228</v>
      </c>
      <c r="M10" s="15" t="s">
        <v>229</v>
      </c>
      <c r="N10" s="15" t="s">
        <v>230</v>
      </c>
      <c r="O10" s="15" t="s">
        <v>231</v>
      </c>
      <c r="P10" s="15" t="s">
        <v>183</v>
      </c>
      <c r="Q10" s="15" t="s">
        <v>232</v>
      </c>
      <c r="R10" s="15" t="s">
        <v>233</v>
      </c>
      <c r="S10" s="15" t="s">
        <v>234</v>
      </c>
      <c r="T10" s="15" t="s">
        <v>235</v>
      </c>
      <c r="U10" s="15" t="s">
        <v>236</v>
      </c>
      <c r="V10" s="17" t="s">
        <v>175</v>
      </c>
      <c r="W10" s="15" t="s">
        <v>175</v>
      </c>
      <c r="X10" s="15" t="s">
        <v>175</v>
      </c>
      <c r="Y10" s="17">
        <v>31</v>
      </c>
      <c r="Z10" s="17">
        <v>31</v>
      </c>
      <c r="AA10" s="17">
        <v>0</v>
      </c>
      <c r="AB10" s="17">
        <v>0</v>
      </c>
      <c r="AC10" s="17">
        <v>0</v>
      </c>
      <c r="AD10" s="18">
        <v>73662</v>
      </c>
      <c r="AE10" s="18">
        <v>0</v>
      </c>
      <c r="AF10" s="18">
        <v>36831</v>
      </c>
      <c r="AG10" s="18">
        <v>0</v>
      </c>
      <c r="AH10" s="18">
        <v>0</v>
      </c>
      <c r="AI10" s="18">
        <v>-27992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55984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138485</v>
      </c>
      <c r="CJ10" s="18">
        <v>8839</v>
      </c>
      <c r="CK10" s="18">
        <v>10229</v>
      </c>
      <c r="CL10" s="18">
        <v>0</v>
      </c>
      <c r="CM10" s="18">
        <v>200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19268</v>
      </c>
      <c r="DW10" s="18">
        <v>119217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>
        <v>119217</v>
      </c>
      <c r="EG10" s="24" t="s">
        <v>176</v>
      </c>
    </row>
    <row r="11" spans="1:137" x14ac:dyDescent="0.35">
      <c r="A11" s="14">
        <f t="shared" si="0"/>
        <v>2911</v>
      </c>
      <c r="B11" s="14" t="s">
        <v>458</v>
      </c>
      <c r="C11" s="15" t="s">
        <v>189</v>
      </c>
      <c r="D11" s="16" t="s">
        <v>402</v>
      </c>
      <c r="E11" s="16" t="s">
        <v>401</v>
      </c>
      <c r="F11" s="16"/>
      <c r="G11" s="15" t="s">
        <v>237</v>
      </c>
      <c r="H11" s="15" t="s">
        <v>179</v>
      </c>
      <c r="I11" s="15" t="s">
        <v>180</v>
      </c>
      <c r="J11" s="15" t="s">
        <v>226</v>
      </c>
      <c r="K11" s="15" t="s">
        <v>204</v>
      </c>
      <c r="L11" s="15" t="s">
        <v>205</v>
      </c>
      <c r="M11" s="15" t="s">
        <v>229</v>
      </c>
      <c r="N11" s="15" t="s">
        <v>238</v>
      </c>
      <c r="O11" s="15" t="s">
        <v>208</v>
      </c>
      <c r="P11" s="15" t="s">
        <v>239</v>
      </c>
      <c r="Q11" s="15" t="s">
        <v>240</v>
      </c>
      <c r="R11" s="15" t="s">
        <v>241</v>
      </c>
      <c r="S11" s="15" t="s">
        <v>242</v>
      </c>
      <c r="T11" s="15" t="s">
        <v>243</v>
      </c>
      <c r="U11" s="15" t="s">
        <v>244</v>
      </c>
      <c r="V11" s="17" t="s">
        <v>175</v>
      </c>
      <c r="W11" s="15" t="s">
        <v>175</v>
      </c>
      <c r="X11" s="15" t="s">
        <v>175</v>
      </c>
      <c r="Y11" s="17">
        <v>31</v>
      </c>
      <c r="Z11" s="17">
        <v>31</v>
      </c>
      <c r="AA11" s="17">
        <v>0</v>
      </c>
      <c r="AB11" s="17">
        <v>2</v>
      </c>
      <c r="AC11" s="17">
        <v>0</v>
      </c>
      <c r="AD11" s="18">
        <v>47217</v>
      </c>
      <c r="AE11" s="18">
        <v>3046</v>
      </c>
      <c r="AF11" s="18">
        <v>23609</v>
      </c>
      <c r="AG11" s="18">
        <v>1523</v>
      </c>
      <c r="AH11" s="18">
        <v>0</v>
      </c>
      <c r="AI11" s="18">
        <v>-16784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35884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94495</v>
      </c>
      <c r="CJ11" s="18">
        <v>6032</v>
      </c>
      <c r="CK11" s="18">
        <v>0</v>
      </c>
      <c r="CL11" s="18">
        <v>0</v>
      </c>
      <c r="CM11" s="18">
        <v>208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6240</v>
      </c>
      <c r="DW11" s="18">
        <v>88255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88255</v>
      </c>
      <c r="EG11" s="24" t="s">
        <v>176</v>
      </c>
    </row>
    <row r="12" spans="1:137" x14ac:dyDescent="0.35">
      <c r="A12" s="14">
        <f t="shared" si="0"/>
        <v>3211</v>
      </c>
      <c r="B12" s="14" t="s">
        <v>459</v>
      </c>
      <c r="C12" s="15" t="s">
        <v>160</v>
      </c>
      <c r="D12" s="16" t="s">
        <v>403</v>
      </c>
      <c r="E12" s="16" t="s">
        <v>404</v>
      </c>
      <c r="F12" s="16"/>
      <c r="G12" s="15" t="s">
        <v>405</v>
      </c>
      <c r="H12" s="15" t="s">
        <v>179</v>
      </c>
      <c r="I12" s="15" t="s">
        <v>284</v>
      </c>
      <c r="J12" s="15" t="s">
        <v>387</v>
      </c>
      <c r="K12" s="15" t="s">
        <v>286</v>
      </c>
      <c r="L12" s="15" t="s">
        <v>165</v>
      </c>
      <c r="M12" s="15" t="s">
        <v>388</v>
      </c>
      <c r="N12" s="15" t="s">
        <v>167</v>
      </c>
      <c r="O12" s="15" t="s">
        <v>168</v>
      </c>
      <c r="P12" s="15" t="s">
        <v>183</v>
      </c>
      <c r="Q12" s="15" t="s">
        <v>389</v>
      </c>
      <c r="R12" s="15" t="s">
        <v>406</v>
      </c>
      <c r="S12" s="15" t="s">
        <v>407</v>
      </c>
      <c r="T12" s="15" t="s">
        <v>408</v>
      </c>
      <c r="U12" s="15" t="s">
        <v>409</v>
      </c>
      <c r="V12" s="17" t="s">
        <v>175</v>
      </c>
      <c r="W12" s="15" t="s">
        <v>175</v>
      </c>
      <c r="X12" s="15" t="s">
        <v>175</v>
      </c>
      <c r="Y12" s="17">
        <v>31</v>
      </c>
      <c r="Z12" s="17">
        <v>31</v>
      </c>
      <c r="AA12" s="17">
        <v>0</v>
      </c>
      <c r="AB12" s="17">
        <v>0</v>
      </c>
      <c r="AC12" s="17">
        <v>0</v>
      </c>
      <c r="AD12" s="18">
        <v>63136</v>
      </c>
      <c r="AE12" s="18">
        <v>0</v>
      </c>
      <c r="AF12" s="18">
        <v>31568</v>
      </c>
      <c r="AG12" s="18">
        <v>0</v>
      </c>
      <c r="AH12" s="18">
        <v>0</v>
      </c>
      <c r="AI12" s="18">
        <v>-23992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47984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118696</v>
      </c>
      <c r="CJ12" s="18">
        <v>7576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39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7615</v>
      </c>
      <c r="DW12" s="18">
        <v>111081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111081</v>
      </c>
      <c r="EG12" s="24" t="s">
        <v>176</v>
      </c>
    </row>
    <row r="13" spans="1:137" x14ac:dyDescent="0.35">
      <c r="A13" s="14">
        <f t="shared" si="0"/>
        <v>3511</v>
      </c>
      <c r="B13" s="14" t="s">
        <v>460</v>
      </c>
      <c r="C13" s="15" t="s">
        <v>189</v>
      </c>
      <c r="D13" s="16" t="s">
        <v>410</v>
      </c>
      <c r="E13" s="16" t="s">
        <v>411</v>
      </c>
      <c r="F13" s="16"/>
      <c r="G13" s="15" t="s">
        <v>246</v>
      </c>
      <c r="H13" s="15" t="s">
        <v>247</v>
      </c>
      <c r="I13" s="15" t="s">
        <v>248</v>
      </c>
      <c r="J13" s="15" t="s">
        <v>249</v>
      </c>
      <c r="K13" s="15" t="s">
        <v>250</v>
      </c>
      <c r="L13" s="15" t="s">
        <v>165</v>
      </c>
      <c r="M13" s="15" t="s">
        <v>251</v>
      </c>
      <c r="N13" s="15" t="s">
        <v>167</v>
      </c>
      <c r="O13" s="15" t="s">
        <v>168</v>
      </c>
      <c r="P13" s="15" t="s">
        <v>252</v>
      </c>
      <c r="Q13" s="15" t="s">
        <v>253</v>
      </c>
      <c r="R13" s="15" t="s">
        <v>254</v>
      </c>
      <c r="S13" s="15" t="s">
        <v>255</v>
      </c>
      <c r="T13" s="15" t="s">
        <v>256</v>
      </c>
      <c r="U13" s="15" t="s">
        <v>257</v>
      </c>
      <c r="V13" s="17" t="s">
        <v>258</v>
      </c>
      <c r="W13" s="15" t="s">
        <v>175</v>
      </c>
      <c r="X13" s="15" t="s">
        <v>175</v>
      </c>
      <c r="Y13" s="17">
        <v>31</v>
      </c>
      <c r="Z13" s="17">
        <v>31</v>
      </c>
      <c r="AA13" s="17">
        <v>0</v>
      </c>
      <c r="AB13" s="17">
        <v>0</v>
      </c>
      <c r="AC13" s="17">
        <v>0</v>
      </c>
      <c r="AD13" s="18">
        <v>244792</v>
      </c>
      <c r="AE13" s="18">
        <v>0</v>
      </c>
      <c r="AF13" s="18">
        <v>120422</v>
      </c>
      <c r="AG13" s="18">
        <v>-11800</v>
      </c>
      <c r="AH13" s="18">
        <v>0</v>
      </c>
      <c r="AI13" s="18">
        <v>0</v>
      </c>
      <c r="AJ13" s="18">
        <v>0</v>
      </c>
      <c r="AK13" s="18">
        <v>-200</v>
      </c>
      <c r="AL13" s="18">
        <v>0</v>
      </c>
      <c r="AM13" s="18">
        <v>-600</v>
      </c>
      <c r="AN13" s="18">
        <v>8800</v>
      </c>
      <c r="AO13" s="18">
        <v>6600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24479</v>
      </c>
      <c r="CI13" s="18">
        <v>392493</v>
      </c>
      <c r="CJ13" s="18">
        <v>29375</v>
      </c>
      <c r="CK13" s="18">
        <v>34289</v>
      </c>
      <c r="CL13" s="18">
        <v>0</v>
      </c>
      <c r="CM13" s="18">
        <v>0</v>
      </c>
      <c r="CN13" s="18">
        <v>0</v>
      </c>
      <c r="CO13" s="18">
        <v>0</v>
      </c>
      <c r="CP13" s="18">
        <v>15400</v>
      </c>
      <c r="CQ13" s="18">
        <v>0</v>
      </c>
      <c r="CR13" s="18">
        <v>39</v>
      </c>
      <c r="CS13" s="18">
        <v>0</v>
      </c>
      <c r="CT13" s="18">
        <v>24479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103582</v>
      </c>
      <c r="DW13" s="18">
        <v>288911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288911</v>
      </c>
      <c r="EG13" s="24" t="s">
        <v>176</v>
      </c>
    </row>
    <row r="14" spans="1:137" x14ac:dyDescent="0.35">
      <c r="A14" s="14">
        <f t="shared" si="0"/>
        <v>3811</v>
      </c>
      <c r="B14" s="14" t="s">
        <v>461</v>
      </c>
      <c r="C14" s="15" t="s">
        <v>160</v>
      </c>
      <c r="D14" s="16" t="s">
        <v>412</v>
      </c>
      <c r="E14" s="16" t="s">
        <v>413</v>
      </c>
      <c r="F14" s="16"/>
      <c r="G14" s="15" t="s">
        <v>259</v>
      </c>
      <c r="H14" s="15" t="s">
        <v>260</v>
      </c>
      <c r="I14" s="15" t="s">
        <v>180</v>
      </c>
      <c r="J14" s="15" t="s">
        <v>261</v>
      </c>
      <c r="K14" s="15" t="s">
        <v>262</v>
      </c>
      <c r="L14" s="15" t="s">
        <v>263</v>
      </c>
      <c r="M14" s="15" t="s">
        <v>264</v>
      </c>
      <c r="N14" s="15" t="s">
        <v>265</v>
      </c>
      <c r="O14" s="15" t="s">
        <v>266</v>
      </c>
      <c r="P14" s="15" t="s">
        <v>267</v>
      </c>
      <c r="Q14" s="15" t="s">
        <v>268</v>
      </c>
      <c r="R14" s="15" t="s">
        <v>269</v>
      </c>
      <c r="S14" s="15" t="s">
        <v>270</v>
      </c>
      <c r="T14" s="15" t="s">
        <v>271</v>
      </c>
      <c r="U14" s="15" t="s">
        <v>272</v>
      </c>
      <c r="V14" s="17" t="s">
        <v>175</v>
      </c>
      <c r="W14" s="15" t="s">
        <v>175</v>
      </c>
      <c r="X14" s="15" t="s">
        <v>175</v>
      </c>
      <c r="Y14" s="17">
        <v>31</v>
      </c>
      <c r="Z14" s="17">
        <v>31</v>
      </c>
      <c r="AA14" s="17">
        <v>0</v>
      </c>
      <c r="AB14" s="17">
        <v>0</v>
      </c>
      <c r="AC14" s="17">
        <v>0</v>
      </c>
      <c r="AD14" s="18">
        <v>33481</v>
      </c>
      <c r="AE14" s="18">
        <v>0</v>
      </c>
      <c r="AF14" s="18">
        <v>16741</v>
      </c>
      <c r="AG14" s="18">
        <v>0</v>
      </c>
      <c r="AH14" s="18">
        <v>0</v>
      </c>
      <c r="AI14" s="18">
        <v>-12723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25446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62945</v>
      </c>
      <c r="CJ14" s="18">
        <v>4018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4018</v>
      </c>
      <c r="DW14" s="18">
        <v>58927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>
        <v>58927</v>
      </c>
      <c r="EG14" s="24" t="s">
        <v>176</v>
      </c>
    </row>
    <row r="15" spans="1:137" x14ac:dyDescent="0.35">
      <c r="A15" s="14">
        <f t="shared" si="0"/>
        <v>4111</v>
      </c>
      <c r="B15" s="14" t="s">
        <v>462</v>
      </c>
      <c r="C15" s="15" t="s">
        <v>160</v>
      </c>
      <c r="D15" s="16" t="s">
        <v>414</v>
      </c>
      <c r="E15" s="16" t="s">
        <v>413</v>
      </c>
      <c r="F15" s="16"/>
      <c r="G15" s="15" t="s">
        <v>273</v>
      </c>
      <c r="H15" s="15" t="s">
        <v>260</v>
      </c>
      <c r="I15" s="15" t="s">
        <v>216</v>
      </c>
      <c r="J15" s="15" t="s">
        <v>274</v>
      </c>
      <c r="K15" s="15" t="s">
        <v>275</v>
      </c>
      <c r="L15" s="15" t="s">
        <v>263</v>
      </c>
      <c r="M15" s="15" t="s">
        <v>276</v>
      </c>
      <c r="N15" s="15" t="s">
        <v>265</v>
      </c>
      <c r="O15" s="15" t="s">
        <v>266</v>
      </c>
      <c r="P15" s="15" t="s">
        <v>277</v>
      </c>
      <c r="Q15" s="15" t="s">
        <v>278</v>
      </c>
      <c r="R15" s="15" t="s">
        <v>279</v>
      </c>
      <c r="S15" s="15" t="s">
        <v>280</v>
      </c>
      <c r="T15" s="15" t="s">
        <v>281</v>
      </c>
      <c r="U15" s="15" t="s">
        <v>282</v>
      </c>
      <c r="V15" s="17" t="s">
        <v>175</v>
      </c>
      <c r="W15" s="15" t="s">
        <v>175</v>
      </c>
      <c r="X15" s="15" t="s">
        <v>175</v>
      </c>
      <c r="Y15" s="17">
        <v>31</v>
      </c>
      <c r="Z15" s="17">
        <v>31</v>
      </c>
      <c r="AA15" s="17">
        <v>0</v>
      </c>
      <c r="AB15" s="17">
        <v>0</v>
      </c>
      <c r="AC15" s="17">
        <v>0</v>
      </c>
      <c r="AD15" s="18">
        <v>44316</v>
      </c>
      <c r="AE15" s="18">
        <v>0</v>
      </c>
      <c r="AF15" s="18">
        <v>22158</v>
      </c>
      <c r="AG15" s="18">
        <v>0</v>
      </c>
      <c r="AH15" s="18">
        <v>0</v>
      </c>
      <c r="AI15" s="18">
        <v>-16840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33680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83314</v>
      </c>
      <c r="CJ15" s="18">
        <v>5318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5318</v>
      </c>
      <c r="DW15" s="18">
        <v>77996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77996</v>
      </c>
      <c r="EG15" s="24" t="s">
        <v>176</v>
      </c>
    </row>
    <row r="16" spans="1:137" x14ac:dyDescent="0.35">
      <c r="A16" s="14">
        <f t="shared" si="0"/>
        <v>4411</v>
      </c>
      <c r="B16" s="14" t="s">
        <v>463</v>
      </c>
      <c r="C16" s="15" t="s">
        <v>160</v>
      </c>
      <c r="D16" s="16" t="s">
        <v>415</v>
      </c>
      <c r="E16" s="16" t="s">
        <v>416</v>
      </c>
      <c r="F16" s="16"/>
      <c r="G16" s="15" t="s">
        <v>283</v>
      </c>
      <c r="H16" s="15" t="s">
        <v>191</v>
      </c>
      <c r="I16" s="15" t="s">
        <v>284</v>
      </c>
      <c r="J16" s="15" t="s">
        <v>285</v>
      </c>
      <c r="K16" s="15" t="s">
        <v>286</v>
      </c>
      <c r="L16" s="15" t="s">
        <v>165</v>
      </c>
      <c r="M16" s="15" t="s">
        <v>287</v>
      </c>
      <c r="N16" s="15" t="s">
        <v>167</v>
      </c>
      <c r="O16" s="15" t="s">
        <v>168</v>
      </c>
      <c r="P16" s="15" t="s">
        <v>183</v>
      </c>
      <c r="Q16" s="15" t="s">
        <v>288</v>
      </c>
      <c r="R16" s="15" t="s">
        <v>289</v>
      </c>
      <c r="S16" s="15" t="s">
        <v>290</v>
      </c>
      <c r="T16" s="15" t="s">
        <v>291</v>
      </c>
      <c r="U16" s="15" t="s">
        <v>292</v>
      </c>
      <c r="V16" s="17" t="s">
        <v>175</v>
      </c>
      <c r="W16" s="15" t="s">
        <v>175</v>
      </c>
      <c r="X16" s="15" t="s">
        <v>175</v>
      </c>
      <c r="Y16" s="17">
        <v>31</v>
      </c>
      <c r="Z16" s="17">
        <v>31</v>
      </c>
      <c r="AA16" s="17">
        <v>0</v>
      </c>
      <c r="AB16" s="17">
        <v>0</v>
      </c>
      <c r="AC16" s="17">
        <v>0</v>
      </c>
      <c r="AD16" s="18">
        <v>110510</v>
      </c>
      <c r="AE16" s="18">
        <v>0</v>
      </c>
      <c r="AF16" s="18">
        <v>55255</v>
      </c>
      <c r="AG16" s="18">
        <v>0</v>
      </c>
      <c r="AH16" s="18">
        <v>0</v>
      </c>
      <c r="AI16" s="18">
        <v>-29946</v>
      </c>
      <c r="AJ16" s="18">
        <v>0</v>
      </c>
      <c r="AK16" s="18">
        <v>-100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83988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219707</v>
      </c>
      <c r="CJ16" s="18">
        <v>13261</v>
      </c>
      <c r="CK16" s="18">
        <v>26839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39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40139</v>
      </c>
      <c r="DW16" s="18">
        <v>179568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179568</v>
      </c>
      <c r="EG16" s="24" t="s">
        <v>176</v>
      </c>
    </row>
    <row r="17" spans="1:137" x14ac:dyDescent="0.35">
      <c r="A17" s="14">
        <f t="shared" si="0"/>
        <v>4711</v>
      </c>
      <c r="B17" s="14" t="s">
        <v>464</v>
      </c>
      <c r="C17" s="15" t="s">
        <v>189</v>
      </c>
      <c r="D17" s="16" t="s">
        <v>417</v>
      </c>
      <c r="E17" s="16" t="s">
        <v>418</v>
      </c>
      <c r="F17" s="16"/>
      <c r="G17" s="15" t="s">
        <v>293</v>
      </c>
      <c r="H17" s="15" t="s">
        <v>191</v>
      </c>
      <c r="I17" s="15" t="s">
        <v>180</v>
      </c>
      <c r="J17" s="15" t="s">
        <v>294</v>
      </c>
      <c r="K17" s="15" t="s">
        <v>295</v>
      </c>
      <c r="L17" s="15" t="s">
        <v>194</v>
      </c>
      <c r="M17" s="15" t="s">
        <v>296</v>
      </c>
      <c r="N17" s="15" t="s">
        <v>196</v>
      </c>
      <c r="O17" s="15" t="s">
        <v>197</v>
      </c>
      <c r="P17" s="15" t="s">
        <v>297</v>
      </c>
      <c r="Q17" s="15" t="s">
        <v>298</v>
      </c>
      <c r="R17" s="15" t="s">
        <v>299</v>
      </c>
      <c r="S17" s="15" t="s">
        <v>300</v>
      </c>
      <c r="T17" s="15" t="s">
        <v>301</v>
      </c>
      <c r="U17" s="15" t="s">
        <v>302</v>
      </c>
      <c r="V17" s="17" t="s">
        <v>175</v>
      </c>
      <c r="W17" s="15" t="s">
        <v>175</v>
      </c>
      <c r="X17" s="15" t="s">
        <v>175</v>
      </c>
      <c r="Y17" s="17">
        <v>31</v>
      </c>
      <c r="Z17" s="17">
        <v>31</v>
      </c>
      <c r="AA17" s="17">
        <v>0</v>
      </c>
      <c r="AB17" s="17">
        <v>1</v>
      </c>
      <c r="AC17" s="17">
        <v>0</v>
      </c>
      <c r="AD17" s="18">
        <v>102841</v>
      </c>
      <c r="AE17" s="18">
        <v>2759</v>
      </c>
      <c r="AF17" s="18">
        <v>51421</v>
      </c>
      <c r="AG17" s="18">
        <v>1380</v>
      </c>
      <c r="AH17" s="18">
        <v>0</v>
      </c>
      <c r="AI17" s="18">
        <v>-36652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78160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199909</v>
      </c>
      <c r="CJ17" s="18">
        <v>12672</v>
      </c>
      <c r="CK17" s="18">
        <v>22934</v>
      </c>
      <c r="CL17" s="18">
        <v>0</v>
      </c>
      <c r="CM17" s="18">
        <v>200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35806</v>
      </c>
      <c r="DW17" s="18">
        <v>164103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164103</v>
      </c>
      <c r="EG17" s="24" t="s">
        <v>176</v>
      </c>
    </row>
    <row r="18" spans="1:137" x14ac:dyDescent="0.35">
      <c r="A18" s="14">
        <f t="shared" si="0"/>
        <v>5011</v>
      </c>
      <c r="B18" s="14" t="s">
        <v>465</v>
      </c>
      <c r="C18" s="15" t="s">
        <v>160</v>
      </c>
      <c r="D18" s="16" t="s">
        <v>419</v>
      </c>
      <c r="E18" s="16" t="s">
        <v>420</v>
      </c>
      <c r="F18" s="16"/>
      <c r="G18" s="15" t="s">
        <v>303</v>
      </c>
      <c r="H18" s="15" t="s">
        <v>304</v>
      </c>
      <c r="I18" s="15" t="s">
        <v>216</v>
      </c>
      <c r="J18" s="15" t="s">
        <v>305</v>
      </c>
      <c r="K18" s="15" t="s">
        <v>218</v>
      </c>
      <c r="L18" s="15" t="s">
        <v>165</v>
      </c>
      <c r="M18" s="15" t="s">
        <v>306</v>
      </c>
      <c r="N18" s="15" t="s">
        <v>167</v>
      </c>
      <c r="O18" s="15" t="s">
        <v>168</v>
      </c>
      <c r="P18" s="15" t="s">
        <v>307</v>
      </c>
      <c r="Q18" s="15" t="s">
        <v>308</v>
      </c>
      <c r="R18" s="15" t="s">
        <v>309</v>
      </c>
      <c r="S18" s="15" t="s">
        <v>310</v>
      </c>
      <c r="T18" s="15" t="s">
        <v>311</v>
      </c>
      <c r="U18" s="15" t="s">
        <v>312</v>
      </c>
      <c r="V18" s="17" t="s">
        <v>175</v>
      </c>
      <c r="W18" s="15" t="s">
        <v>175</v>
      </c>
      <c r="X18" s="15" t="s">
        <v>175</v>
      </c>
      <c r="Y18" s="17">
        <v>29</v>
      </c>
      <c r="Z18" s="17">
        <v>31</v>
      </c>
      <c r="AA18" s="17">
        <v>0</v>
      </c>
      <c r="AB18" s="17">
        <v>1</v>
      </c>
      <c r="AC18" s="17">
        <v>0</v>
      </c>
      <c r="AD18" s="18">
        <v>355717</v>
      </c>
      <c r="AE18" s="18">
        <v>12675</v>
      </c>
      <c r="AF18" s="18">
        <v>177859</v>
      </c>
      <c r="AG18" s="18">
        <v>6338</v>
      </c>
      <c r="AH18" s="18">
        <v>0</v>
      </c>
      <c r="AI18" s="18">
        <v>-30238</v>
      </c>
      <c r="AJ18" s="18">
        <v>0</v>
      </c>
      <c r="AK18" s="18">
        <v>0</v>
      </c>
      <c r="AL18" s="18">
        <v>0</v>
      </c>
      <c r="AM18" s="18">
        <v>0</v>
      </c>
      <c r="AN18" s="18">
        <v>2058</v>
      </c>
      <c r="AO18" s="18">
        <v>73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116139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640621</v>
      </c>
      <c r="CJ18" s="18">
        <v>44207</v>
      </c>
      <c r="CK18" s="18">
        <v>173841</v>
      </c>
      <c r="CL18" s="18">
        <v>0</v>
      </c>
      <c r="CM18" s="18">
        <v>0</v>
      </c>
      <c r="CN18" s="18">
        <v>0</v>
      </c>
      <c r="CO18" s="18">
        <v>0</v>
      </c>
      <c r="CP18" s="18">
        <v>2131</v>
      </c>
      <c r="CQ18" s="18">
        <v>0</v>
      </c>
      <c r="CR18" s="18">
        <v>39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220218</v>
      </c>
      <c r="DW18" s="18">
        <v>420403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>
        <v>420403</v>
      </c>
      <c r="EG18" s="24" t="s">
        <v>176</v>
      </c>
    </row>
    <row r="19" spans="1:137" x14ac:dyDescent="0.35">
      <c r="A19" s="14">
        <f t="shared" si="0"/>
        <v>5311</v>
      </c>
      <c r="B19" s="14" t="s">
        <v>466</v>
      </c>
      <c r="C19" s="15" t="s">
        <v>189</v>
      </c>
      <c r="D19" s="16" t="s">
        <v>421</v>
      </c>
      <c r="E19" s="16" t="s">
        <v>422</v>
      </c>
      <c r="F19" s="16"/>
      <c r="G19" s="15" t="s">
        <v>313</v>
      </c>
      <c r="H19" s="15" t="s">
        <v>191</v>
      </c>
      <c r="I19" s="15" t="s">
        <v>180</v>
      </c>
      <c r="J19" s="15" t="s">
        <v>192</v>
      </c>
      <c r="K19" s="15" t="s">
        <v>314</v>
      </c>
      <c r="L19" s="15" t="s">
        <v>315</v>
      </c>
      <c r="M19" s="15" t="s">
        <v>206</v>
      </c>
      <c r="N19" s="15" t="s">
        <v>316</v>
      </c>
      <c r="O19" s="15" t="s">
        <v>317</v>
      </c>
      <c r="P19" s="15" t="s">
        <v>183</v>
      </c>
      <c r="Q19" s="15" t="s">
        <v>318</v>
      </c>
      <c r="R19" s="15" t="s">
        <v>319</v>
      </c>
      <c r="S19" s="15" t="s">
        <v>320</v>
      </c>
      <c r="T19" s="15" t="s">
        <v>321</v>
      </c>
      <c r="U19" s="15" t="s">
        <v>322</v>
      </c>
      <c r="V19" s="17" t="s">
        <v>175</v>
      </c>
      <c r="W19" s="15" t="s">
        <v>175</v>
      </c>
      <c r="X19" s="15" t="s">
        <v>175</v>
      </c>
      <c r="Y19" s="17">
        <v>31</v>
      </c>
      <c r="Z19" s="17">
        <v>31</v>
      </c>
      <c r="AA19" s="17">
        <v>0</v>
      </c>
      <c r="AB19" s="17">
        <v>0</v>
      </c>
      <c r="AC19" s="17">
        <v>0</v>
      </c>
      <c r="AD19" s="18">
        <v>63287</v>
      </c>
      <c r="AE19" s="18">
        <v>0</v>
      </c>
      <c r="AF19" s="18">
        <v>31644</v>
      </c>
      <c r="AG19" s="18">
        <v>0</v>
      </c>
      <c r="AH19" s="18">
        <v>0</v>
      </c>
      <c r="AI19" s="18">
        <v>-24049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48098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118980</v>
      </c>
      <c r="CJ19" s="18">
        <v>7594</v>
      </c>
      <c r="CK19" s="18">
        <v>7186</v>
      </c>
      <c r="CL19" s="18">
        <v>0</v>
      </c>
      <c r="CM19" s="18">
        <v>208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14988</v>
      </c>
      <c r="DW19" s="18">
        <v>103992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>
        <v>103992</v>
      </c>
      <c r="EG19" s="24" t="s">
        <v>176</v>
      </c>
    </row>
    <row r="20" spans="1:137" x14ac:dyDescent="0.35">
      <c r="A20" s="14">
        <f t="shared" si="0"/>
        <v>5611</v>
      </c>
      <c r="B20" s="14" t="s">
        <v>467</v>
      </c>
      <c r="C20" s="15" t="s">
        <v>160</v>
      </c>
      <c r="D20" s="16" t="s">
        <v>423</v>
      </c>
      <c r="E20" s="16" t="s">
        <v>424</v>
      </c>
      <c r="F20" s="16"/>
      <c r="G20" s="15" t="s">
        <v>323</v>
      </c>
      <c r="H20" s="15" t="s">
        <v>324</v>
      </c>
      <c r="I20" s="15" t="s">
        <v>180</v>
      </c>
      <c r="J20" s="15" t="s">
        <v>261</v>
      </c>
      <c r="K20" s="15" t="s">
        <v>325</v>
      </c>
      <c r="L20" s="15" t="s">
        <v>326</v>
      </c>
      <c r="M20" s="15" t="s">
        <v>327</v>
      </c>
      <c r="N20" s="15" t="s">
        <v>328</v>
      </c>
      <c r="O20" s="15" t="s">
        <v>329</v>
      </c>
      <c r="P20" s="15" t="s">
        <v>183</v>
      </c>
      <c r="Q20" s="15" t="s">
        <v>330</v>
      </c>
      <c r="R20" s="15" t="s">
        <v>331</v>
      </c>
      <c r="S20" s="15" t="s">
        <v>332</v>
      </c>
      <c r="T20" s="15" t="s">
        <v>333</v>
      </c>
      <c r="U20" s="15" t="s">
        <v>334</v>
      </c>
      <c r="V20" s="17" t="s">
        <v>175</v>
      </c>
      <c r="W20" s="15" t="s">
        <v>175</v>
      </c>
      <c r="X20" s="15" t="s">
        <v>175</v>
      </c>
      <c r="Y20" s="17">
        <v>31</v>
      </c>
      <c r="Z20" s="17">
        <v>31</v>
      </c>
      <c r="AA20" s="17">
        <v>0</v>
      </c>
      <c r="AB20" s="17">
        <v>0</v>
      </c>
      <c r="AC20" s="17">
        <v>0</v>
      </c>
      <c r="AD20" s="18">
        <v>23425</v>
      </c>
      <c r="AE20" s="18">
        <v>0</v>
      </c>
      <c r="AF20" s="18">
        <v>11713</v>
      </c>
      <c r="AG20" s="18">
        <v>0</v>
      </c>
      <c r="AH20" s="18">
        <v>0</v>
      </c>
      <c r="AI20" s="18">
        <v>-8900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17800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44038</v>
      </c>
      <c r="CJ20" s="18">
        <v>2811</v>
      </c>
      <c r="CK20" s="18">
        <v>0</v>
      </c>
      <c r="CL20" s="18">
        <v>0</v>
      </c>
      <c r="CM20" s="18">
        <v>208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3019</v>
      </c>
      <c r="DW20" s="18">
        <v>41019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41019</v>
      </c>
      <c r="EG20" s="24" t="s">
        <v>176</v>
      </c>
    </row>
    <row r="21" spans="1:137" x14ac:dyDescent="0.35">
      <c r="A21" s="14">
        <f t="shared" si="0"/>
        <v>5911</v>
      </c>
      <c r="B21" s="14" t="s">
        <v>468</v>
      </c>
      <c r="C21" s="15" t="s">
        <v>189</v>
      </c>
      <c r="D21" s="16" t="s">
        <v>425</v>
      </c>
      <c r="E21" s="16" t="s">
        <v>426</v>
      </c>
      <c r="F21" s="16"/>
      <c r="G21" s="15" t="s">
        <v>335</v>
      </c>
      <c r="H21" s="15" t="s">
        <v>179</v>
      </c>
      <c r="I21" s="15" t="s">
        <v>180</v>
      </c>
      <c r="J21" s="15" t="s">
        <v>226</v>
      </c>
      <c r="K21" s="15" t="s">
        <v>336</v>
      </c>
      <c r="L21" s="15" t="s">
        <v>337</v>
      </c>
      <c r="M21" s="15" t="s">
        <v>229</v>
      </c>
      <c r="N21" s="15" t="s">
        <v>338</v>
      </c>
      <c r="O21" s="15" t="s">
        <v>339</v>
      </c>
      <c r="P21" s="15" t="s">
        <v>169</v>
      </c>
      <c r="Q21" s="15" t="s">
        <v>340</v>
      </c>
      <c r="R21" s="15" t="s">
        <v>341</v>
      </c>
      <c r="S21" s="15" t="s">
        <v>342</v>
      </c>
      <c r="T21" s="15" t="s">
        <v>343</v>
      </c>
      <c r="U21" s="15" t="s">
        <v>344</v>
      </c>
      <c r="V21" s="17" t="s">
        <v>175</v>
      </c>
      <c r="W21" s="15" t="s">
        <v>175</v>
      </c>
      <c r="X21" s="15" t="s">
        <v>175</v>
      </c>
      <c r="Y21" s="17">
        <v>31</v>
      </c>
      <c r="Z21" s="17">
        <v>31</v>
      </c>
      <c r="AA21" s="17">
        <v>0</v>
      </c>
      <c r="AB21" s="17">
        <v>0</v>
      </c>
      <c r="AC21" s="17">
        <v>0</v>
      </c>
      <c r="AD21" s="18">
        <v>54167</v>
      </c>
      <c r="AE21" s="18">
        <v>0</v>
      </c>
      <c r="AF21" s="18">
        <v>27084</v>
      </c>
      <c r="AG21" s="18">
        <v>0</v>
      </c>
      <c r="AH21" s="18">
        <v>0</v>
      </c>
      <c r="AI21" s="18">
        <v>-20582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41164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101833</v>
      </c>
      <c r="CJ21" s="18">
        <v>6500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6500</v>
      </c>
      <c r="DW21" s="18">
        <v>95333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>
        <v>95333</v>
      </c>
      <c r="EG21" s="24" t="s">
        <v>176</v>
      </c>
    </row>
    <row r="22" spans="1:137" x14ac:dyDescent="0.35">
      <c r="A22" s="14">
        <f t="shared" si="0"/>
        <v>6211</v>
      </c>
      <c r="B22" s="14" t="s">
        <v>469</v>
      </c>
      <c r="C22" s="15" t="s">
        <v>189</v>
      </c>
      <c r="D22" s="16" t="s">
        <v>427</v>
      </c>
      <c r="E22" s="16" t="s">
        <v>428</v>
      </c>
      <c r="F22" s="16"/>
      <c r="G22" s="15" t="s">
        <v>345</v>
      </c>
      <c r="H22" s="15" t="s">
        <v>260</v>
      </c>
      <c r="I22" s="15" t="s">
        <v>180</v>
      </c>
      <c r="J22" s="15" t="s">
        <v>226</v>
      </c>
      <c r="K22" s="15" t="s">
        <v>346</v>
      </c>
      <c r="L22" s="15" t="s">
        <v>347</v>
      </c>
      <c r="M22" s="15" t="s">
        <v>348</v>
      </c>
      <c r="N22" s="15" t="s">
        <v>349</v>
      </c>
      <c r="O22" s="15" t="s">
        <v>350</v>
      </c>
      <c r="P22" s="15" t="s">
        <v>351</v>
      </c>
      <c r="Q22" s="15" t="s">
        <v>352</v>
      </c>
      <c r="R22" s="15" t="s">
        <v>353</v>
      </c>
      <c r="S22" s="15" t="s">
        <v>354</v>
      </c>
      <c r="T22" s="15" t="s">
        <v>355</v>
      </c>
      <c r="U22" s="15" t="s">
        <v>356</v>
      </c>
      <c r="V22" s="17" t="s">
        <v>175</v>
      </c>
      <c r="W22" s="15" t="s">
        <v>175</v>
      </c>
      <c r="X22" s="15" t="s">
        <v>175</v>
      </c>
      <c r="Y22" s="17">
        <v>31</v>
      </c>
      <c r="Z22" s="17">
        <v>31</v>
      </c>
      <c r="AA22" s="17">
        <v>0</v>
      </c>
      <c r="AB22" s="17">
        <v>0</v>
      </c>
      <c r="AC22" s="17">
        <v>0</v>
      </c>
      <c r="AD22" s="18">
        <v>32424</v>
      </c>
      <c r="AE22" s="18">
        <v>0</v>
      </c>
      <c r="AF22" s="18">
        <v>16212</v>
      </c>
      <c r="AG22" s="18">
        <v>0</v>
      </c>
      <c r="AH22" s="18">
        <v>0</v>
      </c>
      <c r="AI22" s="18">
        <v>-12320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24640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60956</v>
      </c>
      <c r="CJ22" s="18">
        <v>3891</v>
      </c>
      <c r="CK22" s="18">
        <v>0</v>
      </c>
      <c r="CL22" s="18">
        <v>0</v>
      </c>
      <c r="CM22" s="18">
        <v>200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4091</v>
      </c>
      <c r="DW22" s="18">
        <v>56865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56865</v>
      </c>
      <c r="EG22" s="24" t="s">
        <v>176</v>
      </c>
    </row>
    <row r="23" spans="1:137" x14ac:dyDescent="0.35">
      <c r="A23" s="14">
        <f t="shared" si="0"/>
        <v>6511</v>
      </c>
      <c r="B23" s="14" t="s">
        <v>470</v>
      </c>
      <c r="C23" s="15" t="s">
        <v>189</v>
      </c>
      <c r="D23" s="16" t="s">
        <v>429</v>
      </c>
      <c r="E23" s="16" t="s">
        <v>430</v>
      </c>
      <c r="F23" s="16"/>
      <c r="G23" s="15" t="s">
        <v>357</v>
      </c>
      <c r="H23" s="15" t="s">
        <v>358</v>
      </c>
      <c r="I23" s="15" t="s">
        <v>180</v>
      </c>
      <c r="J23" s="15" t="s">
        <v>359</v>
      </c>
      <c r="K23" s="15" t="s">
        <v>360</v>
      </c>
      <c r="L23" s="15" t="s">
        <v>361</v>
      </c>
      <c r="M23" s="15" t="s">
        <v>362</v>
      </c>
      <c r="N23" s="15" t="s">
        <v>363</v>
      </c>
      <c r="O23" s="15" t="s">
        <v>197</v>
      </c>
      <c r="P23" s="15" t="s">
        <v>169</v>
      </c>
      <c r="Q23" s="15" t="s">
        <v>364</v>
      </c>
      <c r="R23" s="15" t="s">
        <v>365</v>
      </c>
      <c r="S23" s="15" t="s">
        <v>366</v>
      </c>
      <c r="T23" s="15" t="s">
        <v>367</v>
      </c>
      <c r="U23" s="15" t="s">
        <v>368</v>
      </c>
      <c r="V23" s="17" t="s">
        <v>175</v>
      </c>
      <c r="W23" s="15" t="s">
        <v>175</v>
      </c>
      <c r="X23" s="15" t="s">
        <v>175</v>
      </c>
      <c r="Y23" s="17">
        <v>31</v>
      </c>
      <c r="Z23" s="17">
        <v>31</v>
      </c>
      <c r="AA23" s="17">
        <v>0</v>
      </c>
      <c r="AB23" s="17">
        <v>0</v>
      </c>
      <c r="AC23" s="17">
        <v>0</v>
      </c>
      <c r="AD23" s="18">
        <v>90340</v>
      </c>
      <c r="AE23" s="18">
        <v>0</v>
      </c>
      <c r="AF23" s="18">
        <v>45170</v>
      </c>
      <c r="AG23" s="18">
        <v>0</v>
      </c>
      <c r="AH23" s="18">
        <v>0</v>
      </c>
      <c r="AI23" s="18">
        <v>-34329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68658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169839</v>
      </c>
      <c r="CJ23" s="18">
        <v>10841</v>
      </c>
      <c r="CK23" s="18">
        <v>16693</v>
      </c>
      <c r="CL23" s="18">
        <v>0</v>
      </c>
      <c r="CM23" s="18">
        <v>200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27734</v>
      </c>
      <c r="DW23" s="18">
        <v>142105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>
        <v>142105</v>
      </c>
      <c r="EG23" s="24" t="s">
        <v>176</v>
      </c>
    </row>
    <row r="24" spans="1:137" x14ac:dyDescent="0.35">
      <c r="A24" s="14">
        <f t="shared" si="0"/>
        <v>6811</v>
      </c>
      <c r="B24" s="14" t="s">
        <v>471</v>
      </c>
      <c r="C24" s="15" t="s">
        <v>189</v>
      </c>
      <c r="D24" s="16" t="s">
        <v>431</v>
      </c>
      <c r="E24" s="16" t="s">
        <v>432</v>
      </c>
      <c r="F24" s="16"/>
      <c r="G24" s="15" t="s">
        <v>369</v>
      </c>
      <c r="H24" s="15" t="s">
        <v>191</v>
      </c>
      <c r="I24" s="15" t="s">
        <v>180</v>
      </c>
      <c r="J24" s="15" t="s">
        <v>294</v>
      </c>
      <c r="K24" s="15" t="s">
        <v>370</v>
      </c>
      <c r="L24" s="15" t="s">
        <v>371</v>
      </c>
      <c r="M24" s="15" t="s">
        <v>296</v>
      </c>
      <c r="N24" s="15" t="s">
        <v>372</v>
      </c>
      <c r="O24" s="15" t="s">
        <v>373</v>
      </c>
      <c r="P24" s="15" t="s">
        <v>183</v>
      </c>
      <c r="Q24" s="15" t="s">
        <v>374</v>
      </c>
      <c r="R24" s="15" t="s">
        <v>375</v>
      </c>
      <c r="S24" s="15" t="s">
        <v>376</v>
      </c>
      <c r="T24" s="15" t="s">
        <v>377</v>
      </c>
      <c r="U24" s="15" t="s">
        <v>378</v>
      </c>
      <c r="V24" s="17" t="s">
        <v>175</v>
      </c>
      <c r="W24" s="15" t="s">
        <v>175</v>
      </c>
      <c r="X24" s="15" t="s">
        <v>175</v>
      </c>
      <c r="Y24" s="17">
        <v>31</v>
      </c>
      <c r="Z24" s="17">
        <v>31</v>
      </c>
      <c r="AA24" s="17">
        <v>0</v>
      </c>
      <c r="AB24" s="17">
        <v>0</v>
      </c>
      <c r="AC24" s="17">
        <v>0</v>
      </c>
      <c r="AD24" s="18">
        <v>51087</v>
      </c>
      <c r="AE24" s="18">
        <v>0</v>
      </c>
      <c r="AF24" s="18">
        <v>25544</v>
      </c>
      <c r="AG24" s="18">
        <v>0</v>
      </c>
      <c r="AH24" s="18">
        <v>0</v>
      </c>
      <c r="AI24" s="18">
        <v>-19413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38826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96044</v>
      </c>
      <c r="CJ24" s="18">
        <v>6130</v>
      </c>
      <c r="CK24" s="18">
        <v>0</v>
      </c>
      <c r="CL24" s="18">
        <v>0</v>
      </c>
      <c r="CM24" s="18">
        <v>200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6330</v>
      </c>
      <c r="DW24" s="18">
        <v>89714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89714</v>
      </c>
      <c r="EG24" s="24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4F0E-1F1D-47E4-8E8B-0F75A50F7F84}">
  <sheetPr>
    <tabColor rgb="FF92D050"/>
  </sheetPr>
  <dimension ref="A1:ES27"/>
  <sheetViews>
    <sheetView zoomScale="80" zoomScaleNormal="80" workbookViewId="0">
      <pane xSplit="2" ySplit="4" topLeftCell="C11" activePane="bottomRight" state="frozen"/>
      <selection pane="topRight" activeCell="C1" sqref="C1"/>
      <selection pane="bottomLeft" activeCell="A5" sqref="A5"/>
      <selection pane="bottomRight"/>
    </sheetView>
  </sheetViews>
  <sheetFormatPr defaultRowHeight="14.5" outlineLevelCol="1" x14ac:dyDescent="0.35"/>
  <cols>
    <col min="1" max="1" width="16.36328125" style="4" bestFit="1" customWidth="1"/>
    <col min="2" max="2" width="31.453125" style="4" bestFit="1" customWidth="1"/>
    <col min="3" max="3" width="11.54296875" style="4" hidden="1" customWidth="1" outlineLevel="1"/>
    <col min="4" max="4" width="16.08984375" style="5" hidden="1" customWidth="1" outlineLevel="1"/>
    <col min="5" max="5" width="17.81640625" style="5" hidden="1" customWidth="1" outlineLevel="1"/>
    <col min="6" max="6" width="20" style="5" hidden="1" customWidth="1" outlineLevel="1"/>
    <col min="7" max="7" width="34" style="4" hidden="1" customWidth="1" outlineLevel="1"/>
    <col min="8" max="8" width="18.36328125" style="4" hidden="1" customWidth="1" outlineLevel="1"/>
    <col min="9" max="9" width="25.90625" style="4" hidden="1" customWidth="1" outlineLevel="1"/>
    <col min="10" max="10" width="26.7265625" style="4" hidden="1" customWidth="1" outlineLevel="1"/>
    <col min="11" max="11" width="15.1796875" style="4" hidden="1" customWidth="1" outlineLevel="1"/>
    <col min="12" max="12" width="26.1796875" style="4" hidden="1" customWidth="1" outlineLevel="1"/>
    <col min="13" max="13" width="47.81640625" style="4" hidden="1" customWidth="1" outlineLevel="1"/>
    <col min="14" max="14" width="22" style="4" hidden="1" customWidth="1" outlineLevel="1"/>
    <col min="15" max="15" width="18" style="4" hidden="1" customWidth="1" outlineLevel="1"/>
    <col min="16" max="16" width="30.453125" style="4" hidden="1" customWidth="1" outlineLevel="1"/>
    <col min="17" max="17" width="14.36328125" style="4" hidden="1" customWidth="1" outlineLevel="1"/>
    <col min="18" max="18" width="19.7265625" style="4" hidden="1" customWidth="1" outlineLevel="1"/>
    <col min="19" max="19" width="13.54296875" style="4" hidden="1" customWidth="1" outlineLevel="1"/>
    <col min="20" max="20" width="23.81640625" style="4" hidden="1" customWidth="1" outlineLevel="1"/>
    <col min="21" max="22" width="12.90625" style="4" hidden="1" customWidth="1" outlineLevel="1"/>
    <col min="23" max="23" width="11.1796875" style="4" hidden="1" customWidth="1" outlineLevel="1"/>
    <col min="24" max="24" width="19.36328125" style="4" hidden="1" customWidth="1" outlineLevel="1"/>
    <col min="25" max="25" width="16.54296875" style="4" hidden="1" customWidth="1" outlineLevel="1"/>
    <col min="26" max="26" width="16.36328125" style="4" hidden="1" customWidth="1" outlineLevel="1"/>
    <col min="27" max="27" width="22.6328125" style="4" hidden="1" customWidth="1" outlineLevel="1"/>
    <col min="28" max="28" width="16.08984375" style="4" hidden="1" customWidth="1" outlineLevel="1"/>
    <col min="29" max="29" width="22.54296875" style="4" hidden="1" customWidth="1" outlineLevel="1"/>
    <col min="30" max="30" width="11.7265625" style="4" hidden="1" customWidth="1" outlineLevel="1"/>
    <col min="31" max="31" width="15.36328125" style="4" hidden="1" customWidth="1" outlineLevel="1"/>
    <col min="32" max="32" width="11.7265625" style="4" hidden="1" customWidth="1" outlineLevel="1"/>
    <col min="33" max="33" width="14.7265625" style="4" hidden="1" customWidth="1" outlineLevel="1"/>
    <col min="34" max="34" width="20.1796875" style="4" hidden="1" customWidth="1" outlineLevel="1"/>
    <col min="35" max="35" width="26.1796875" style="4" hidden="1" customWidth="1" outlineLevel="1"/>
    <col min="36" max="36" width="27.6328125" style="4" hidden="1" customWidth="1" outlineLevel="1"/>
    <col min="37" max="37" width="33.54296875" style="4" hidden="1" customWidth="1" outlineLevel="1"/>
    <col min="38" max="38" width="24.54296875" style="4" hidden="1" customWidth="1" outlineLevel="1"/>
    <col min="39" max="39" width="30.54296875" style="4" hidden="1" customWidth="1" outlineLevel="1"/>
    <col min="40" max="40" width="16.54296875" style="4" hidden="1" customWidth="1" outlineLevel="1"/>
    <col min="41" max="41" width="22.54296875" style="4" hidden="1" customWidth="1" outlineLevel="1"/>
    <col min="42" max="42" width="16.7265625" style="4" hidden="1" customWidth="1" outlineLevel="1"/>
    <col min="43" max="43" width="24.08984375" style="4" hidden="1" customWidth="1" outlineLevel="1"/>
    <col min="44" max="44" width="21.6328125" style="4" hidden="1" customWidth="1" outlineLevel="1"/>
    <col min="45" max="45" width="14.1796875" style="4" hidden="1" customWidth="1" outlineLevel="1"/>
    <col min="46" max="46" width="24.08984375" style="4" hidden="1" customWidth="1" outlineLevel="1"/>
    <col min="47" max="47" width="10.54296875" style="4" hidden="1" customWidth="1" outlineLevel="1"/>
    <col min="48" max="48" width="20.90625" style="4" hidden="1" customWidth="1" outlineLevel="1"/>
    <col min="49" max="49" width="12.26953125" style="4" hidden="1" customWidth="1" outlineLevel="1"/>
    <col min="50" max="50" width="15.26953125" style="4" hidden="1" customWidth="1" outlineLevel="1"/>
    <col min="51" max="51" width="15.7265625" style="4" hidden="1" customWidth="1" outlineLevel="1"/>
    <col min="52" max="52" width="21.1796875" style="4" hidden="1" customWidth="1" outlineLevel="1"/>
    <col min="53" max="53" width="21.7265625" style="4" hidden="1" customWidth="1" outlineLevel="1"/>
    <col min="54" max="54" width="16" style="4" hidden="1" customWidth="1" outlineLevel="1"/>
    <col min="55" max="55" width="18.26953125" style="4" hidden="1" customWidth="1" outlineLevel="1"/>
    <col min="56" max="56" width="17" style="4" hidden="1" customWidth="1" outlineLevel="1"/>
    <col min="57" max="57" width="20.90625" style="4" hidden="1" customWidth="1" outlineLevel="1"/>
    <col min="58" max="58" width="22.36328125" style="4" hidden="1" customWidth="1" outlineLevel="1"/>
    <col min="59" max="59" width="17.453125" style="4" hidden="1" customWidth="1" outlineLevel="1"/>
    <col min="60" max="60" width="18.36328125" style="4" hidden="1" customWidth="1" outlineLevel="1"/>
    <col min="61" max="61" width="12.08984375" style="4" hidden="1" customWidth="1" outlineLevel="1"/>
    <col min="62" max="62" width="15.36328125" style="4" hidden="1" customWidth="1" outlineLevel="1"/>
    <col min="63" max="63" width="19.36328125" style="4" hidden="1" customWidth="1" outlineLevel="1"/>
    <col min="64" max="64" width="28" style="4" hidden="1" customWidth="1" outlineLevel="1"/>
    <col min="65" max="65" width="24.54296875" style="4" hidden="1" customWidth="1" outlineLevel="1"/>
    <col min="66" max="66" width="26" style="4" hidden="1" customWidth="1" outlineLevel="1"/>
    <col min="67" max="67" width="19.26953125" style="4" hidden="1" customWidth="1" outlineLevel="1"/>
    <col min="68" max="68" width="23.6328125" style="4" hidden="1" customWidth="1" outlineLevel="1"/>
    <col min="69" max="69" width="23.36328125" style="4" hidden="1" customWidth="1" outlineLevel="1"/>
    <col min="70" max="70" width="29.08984375" style="4" hidden="1" customWidth="1" outlineLevel="1"/>
    <col min="71" max="71" width="10.7265625" style="4" hidden="1" customWidth="1" outlineLevel="1"/>
    <col min="72" max="72" width="21.6328125" style="4" hidden="1" customWidth="1" outlineLevel="1"/>
    <col min="73" max="73" width="18.6328125" style="4" hidden="1" customWidth="1" outlineLevel="1"/>
    <col min="74" max="74" width="22.36328125" style="4" hidden="1" customWidth="1" outlineLevel="1"/>
    <col min="75" max="75" width="26.26953125" style="4" hidden="1" customWidth="1" outlineLevel="1"/>
    <col min="76" max="76" width="22.1796875" style="4" hidden="1" customWidth="1" outlineLevel="1"/>
    <col min="77" max="77" width="27.6328125" style="4" hidden="1" customWidth="1" outlineLevel="1"/>
    <col min="78" max="78" width="24.54296875" style="4" hidden="1" customWidth="1" outlineLevel="1"/>
    <col min="79" max="79" width="19.26953125" style="4" hidden="1" customWidth="1" outlineLevel="1"/>
    <col min="80" max="80" width="25.453125" style="4" hidden="1" customWidth="1" outlineLevel="1"/>
    <col min="81" max="81" width="14.26953125" style="4" hidden="1" customWidth="1" outlineLevel="1"/>
    <col min="82" max="82" width="24.54296875" style="4" hidden="1" customWidth="1" outlineLevel="1"/>
    <col min="83" max="83" width="21" style="4" hidden="1" customWidth="1" outlineLevel="1"/>
    <col min="84" max="84" width="16.26953125" style="4" hidden="1" customWidth="1" outlineLevel="1"/>
    <col min="85" max="85" width="24.54296875" style="4" hidden="1" customWidth="1" outlineLevel="1"/>
    <col min="86" max="86" width="17.26953125" style="4" hidden="1" customWidth="1" outlineLevel="1"/>
    <col min="87" max="87" width="17.7265625" style="4" bestFit="1" customWidth="1" collapsed="1"/>
    <col min="88" max="88" width="10.1796875" style="4" hidden="1" customWidth="1" outlineLevel="1"/>
    <col min="89" max="89" width="11.7265625" style="4" hidden="1" customWidth="1" outlineLevel="1"/>
    <col min="90" max="90" width="9.1796875" style="4" hidden="1" customWidth="1" outlineLevel="1"/>
    <col min="91" max="91" width="7.6328125" style="4" hidden="1" customWidth="1" outlineLevel="1"/>
    <col min="92" max="92" width="18.6328125" style="4" hidden="1" customWidth="1" outlineLevel="1"/>
    <col min="93" max="93" width="18.54296875" style="4" hidden="1" customWidth="1" outlineLevel="1"/>
    <col min="94" max="94" width="25.90625" style="4" hidden="1" customWidth="1" outlineLevel="1"/>
    <col min="95" max="95" width="19.453125" style="4" hidden="1" customWidth="1" outlineLevel="1"/>
    <col min="96" max="96" width="8.90625" style="4" hidden="1" customWidth="1" outlineLevel="1"/>
    <col min="97" max="97" width="24.81640625" style="4" hidden="1" customWidth="1" outlineLevel="1"/>
    <col min="98" max="98" width="18.36328125" style="4" hidden="1" customWidth="1" outlineLevel="1"/>
    <col min="99" max="99" width="20.08984375" style="4" hidden="1" customWidth="1" outlineLevel="1"/>
    <col min="100" max="100" width="17" style="4" hidden="1" customWidth="1" outlineLevel="1"/>
    <col min="101" max="101" width="27.26953125" style="4" hidden="1" customWidth="1" outlineLevel="1"/>
    <col min="102" max="102" width="15.90625" style="4" hidden="1" customWidth="1" outlineLevel="1"/>
    <col min="103" max="103" width="20.36328125" style="4" hidden="1" customWidth="1" outlineLevel="1"/>
    <col min="104" max="104" width="22.453125" style="4" hidden="1" customWidth="1" outlineLevel="1"/>
    <col min="105" max="105" width="27.90625" style="4" hidden="1" customWidth="1" outlineLevel="1"/>
    <col min="106" max="106" width="30.26953125" style="4" hidden="1" customWidth="1" outlineLevel="1"/>
    <col min="107" max="107" width="26.26953125" style="4" hidden="1" customWidth="1" outlineLevel="1"/>
    <col min="108" max="108" width="29.7265625" style="4" hidden="1" customWidth="1" outlineLevel="1"/>
    <col min="109" max="109" width="20.90625" style="4" hidden="1" customWidth="1" outlineLevel="1"/>
    <col min="110" max="110" width="24.1796875" style="4" hidden="1" customWidth="1" outlineLevel="1"/>
    <col min="111" max="111" width="22.54296875" style="4" hidden="1" customWidth="1" outlineLevel="1"/>
    <col min="112" max="112" width="21.1796875" style="4" hidden="1" customWidth="1" outlineLevel="1"/>
    <col min="113" max="113" width="23.453125" style="4" hidden="1" customWidth="1" outlineLevel="1"/>
    <col min="114" max="114" width="29.81640625" style="4" hidden="1" customWidth="1" outlineLevel="1"/>
    <col min="115" max="115" width="20.453125" style="4" hidden="1" customWidth="1" outlineLevel="1"/>
    <col min="116" max="116" width="25.90625" style="4" hidden="1" customWidth="1" outlineLevel="1"/>
    <col min="117" max="117" width="19.08984375" style="4" hidden="1" customWidth="1" outlineLevel="1"/>
    <col min="118" max="118" width="18.54296875" style="4" hidden="1" customWidth="1" outlineLevel="1"/>
    <col min="119" max="119" width="24.7265625" style="4" hidden="1" customWidth="1" outlineLevel="1"/>
    <col min="120" max="120" width="11.08984375" style="4" hidden="1" customWidth="1" outlineLevel="1"/>
    <col min="121" max="121" width="25.7265625" style="4" hidden="1" customWidth="1" outlineLevel="1"/>
    <col min="122" max="122" width="19" style="4" hidden="1" customWidth="1" outlineLevel="1"/>
    <col min="123" max="123" width="30.453125" style="4" hidden="1" customWidth="1" outlineLevel="1"/>
    <col min="124" max="124" width="27.1796875" style="4" hidden="1" customWidth="1" outlineLevel="1"/>
    <col min="125" max="125" width="15.6328125" style="4" hidden="1" customWidth="1" outlineLevel="1"/>
    <col min="126" max="126" width="19.26953125" style="4" bestFit="1" customWidth="1" collapsed="1"/>
    <col min="127" max="127" width="12.7265625" style="4" bestFit="1" customWidth="1"/>
    <col min="128" max="128" width="22.36328125" style="4" hidden="1" customWidth="1" outlineLevel="1"/>
    <col min="129" max="129" width="22.81640625" style="4" hidden="1" customWidth="1" outlineLevel="1"/>
    <col min="130" max="130" width="22.1796875" style="4" hidden="1" customWidth="1" outlineLevel="1"/>
    <col min="131" max="131" width="32.453125" style="4" hidden="1" customWidth="1" outlineLevel="1"/>
    <col min="132" max="132" width="22.26953125" style="4" hidden="1" customWidth="1" outlineLevel="1"/>
    <col min="133" max="133" width="37.1796875" style="4" hidden="1" customWidth="1" outlineLevel="1"/>
    <col min="134" max="134" width="20.90625" style="4" hidden="1" customWidth="1" outlineLevel="1"/>
    <col min="135" max="135" width="24.08984375" style="4" bestFit="1" customWidth="1" collapsed="1"/>
    <col min="136" max="136" width="15.36328125" style="4" bestFit="1" customWidth="1"/>
    <col min="137" max="137" width="10.90625" style="6" bestFit="1" customWidth="1"/>
    <col min="138" max="138" width="46.453125" style="6" bestFit="1" customWidth="1"/>
    <col min="139" max="139" width="21.36328125" style="4" hidden="1" customWidth="1"/>
    <col min="140" max="140" width="10" style="4" hidden="1" customWidth="1"/>
    <col min="141" max="141" width="9.7265625" style="4" hidden="1" customWidth="1"/>
    <col min="142" max="142" width="9.26953125" style="4" hidden="1" customWidth="1"/>
    <col min="143" max="143" width="7.54296875" style="4" hidden="1" customWidth="1"/>
    <col min="144" max="144" width="7.7265625" style="4" hidden="1" customWidth="1"/>
    <col min="145" max="145" width="15.7265625" style="4" hidden="1" customWidth="1"/>
    <col min="146" max="146" width="8.26953125" style="4" hidden="1" customWidth="1"/>
    <col min="147" max="147" width="9.7265625" style="5" hidden="1" customWidth="1"/>
    <col min="148" max="148" width="9.26953125" style="5" hidden="1" customWidth="1"/>
    <col min="149" max="149" width="12.90625" style="4" hidden="1" customWidth="1"/>
    <col min="150" max="152" width="0" style="4" hidden="1" customWidth="1"/>
    <col min="153" max="16384" width="8.7265625" style="4"/>
  </cols>
  <sheetData>
    <row r="1" spans="1:149" x14ac:dyDescent="0.35">
      <c r="A1" s="3" t="s">
        <v>472</v>
      </c>
    </row>
    <row r="2" spans="1:149" x14ac:dyDescent="0.35">
      <c r="A2" s="3" t="s">
        <v>15</v>
      </c>
    </row>
    <row r="3" spans="1:149" ht="15" thickBot="1" x14ac:dyDescent="0.4">
      <c r="AD3" s="7">
        <f>SUM(AD5:AD24)</f>
        <v>2248825</v>
      </c>
      <c r="AE3" s="7">
        <f>SUM(AE5:AE24)</f>
        <v>24532</v>
      </c>
      <c r="AF3" s="7">
        <f>SUM(AF5:AF24)</f>
        <v>1102023</v>
      </c>
      <c r="AG3" s="7">
        <f>SUM(AG5:AG24)</f>
        <v>12266</v>
      </c>
      <c r="AH3" s="7">
        <f>SUM(AH5:AH24)</f>
        <v>0</v>
      </c>
      <c r="AI3" s="7">
        <f>SUM(AI5:AI24)</f>
        <v>0</v>
      </c>
      <c r="AJ3" s="7">
        <f>SUM(AJ5:AJ24)</f>
        <v>0</v>
      </c>
      <c r="AK3" s="7">
        <f>SUM(AK5:AK24)</f>
        <v>0</v>
      </c>
      <c r="AL3" s="7">
        <f>SUM(AL5:AL24)</f>
        <v>0</v>
      </c>
      <c r="AM3" s="7">
        <f>SUM(AM5:AM24)</f>
        <v>0</v>
      </c>
      <c r="AN3" s="7">
        <f>SUM(AN5:AN24)</f>
        <v>11000</v>
      </c>
      <c r="AO3" s="7">
        <f>SUM(AO5:AO24)</f>
        <v>142</v>
      </c>
      <c r="AP3" s="7">
        <f>SUM(AP5:AP24)</f>
        <v>0</v>
      </c>
      <c r="AQ3" s="7">
        <f>SUM(AQ5:AQ24)</f>
        <v>0</v>
      </c>
      <c r="AR3" s="7">
        <f>SUM(AR5:AR24)</f>
        <v>0</v>
      </c>
      <c r="AS3" s="7">
        <f>SUM(AS5:AS24)</f>
        <v>0</v>
      </c>
      <c r="AT3" s="7">
        <f>SUM(AT5:AT24)</f>
        <v>0</v>
      </c>
      <c r="AU3" s="7">
        <f>SUM(AU5:AU24)</f>
        <v>0</v>
      </c>
      <c r="AV3" s="7">
        <f>SUM(AV5:AV24)</f>
        <v>0</v>
      </c>
      <c r="AW3" s="7">
        <f>SUM(AW5:AW24)</f>
        <v>0</v>
      </c>
      <c r="AX3" s="7">
        <f>SUM(AX5:AX24)</f>
        <v>0</v>
      </c>
      <c r="AY3" s="7">
        <f>SUM(AY5:AY24)</f>
        <v>0</v>
      </c>
      <c r="AZ3" s="7">
        <f>SUM(AZ5:AZ24)</f>
        <v>0</v>
      </c>
      <c r="BA3" s="7">
        <f>SUM(BA5:BA24)</f>
        <v>0</v>
      </c>
      <c r="BB3" s="7">
        <f>SUM(BB5:BB24)</f>
        <v>0</v>
      </c>
      <c r="BC3" s="7">
        <f>SUM(BC5:BC24)</f>
        <v>0</v>
      </c>
      <c r="BD3" s="7">
        <f>SUM(BD5:BD24)</f>
        <v>0</v>
      </c>
      <c r="BE3" s="7">
        <f>SUM(BE5:BE24)</f>
        <v>0</v>
      </c>
      <c r="BF3" s="7">
        <f>SUM(BF5:BF24)</f>
        <v>0</v>
      </c>
      <c r="BG3" s="7">
        <f>SUM(BG5:BG24)</f>
        <v>0</v>
      </c>
      <c r="BH3" s="7">
        <f>SUM(BH5:BH24)</f>
        <v>0</v>
      </c>
      <c r="BI3" s="7">
        <f>SUM(BI5:BI24)</f>
        <v>0</v>
      </c>
      <c r="BJ3" s="7">
        <f>SUM(BJ5:BJ24)</f>
        <v>0</v>
      </c>
      <c r="BK3" s="7">
        <f>SUM(BK5:BK24)</f>
        <v>0</v>
      </c>
      <c r="BL3" s="7">
        <f>SUM(BL5:BL24)</f>
        <v>0</v>
      </c>
      <c r="BM3" s="7">
        <f>SUM(BM5:BM24)</f>
        <v>690080</v>
      </c>
      <c r="BN3" s="7">
        <f>SUM(BN5:BN24)</f>
        <v>0</v>
      </c>
      <c r="BO3" s="7">
        <f>SUM(BO5:BO24)</f>
        <v>0</v>
      </c>
      <c r="BP3" s="7">
        <f>SUM(BP5:BP24)</f>
        <v>0</v>
      </c>
      <c r="BQ3" s="7">
        <f>SUM(BQ5:BQ24)</f>
        <v>0</v>
      </c>
      <c r="BR3" s="7">
        <f>SUM(BR5:BR24)</f>
        <v>0</v>
      </c>
      <c r="BS3" s="7">
        <f>SUM(BS5:BS24)</f>
        <v>0</v>
      </c>
      <c r="BT3" s="7">
        <f>SUM(BT5:BT24)</f>
        <v>0</v>
      </c>
      <c r="BU3" s="7">
        <f>SUM(BU5:BU24)</f>
        <v>0</v>
      </c>
      <c r="BV3" s="7">
        <f>SUM(BV5:BV24)</f>
        <v>0</v>
      </c>
      <c r="BW3" s="7">
        <f>SUM(BW5:BW24)</f>
        <v>0</v>
      </c>
      <c r="BX3" s="7">
        <f>SUM(BX5:BX24)</f>
        <v>0</v>
      </c>
      <c r="BY3" s="7">
        <f>SUM(BY5:BY24)</f>
        <v>0</v>
      </c>
      <c r="BZ3" s="7">
        <f>SUM(BZ5:BZ24)</f>
        <v>0</v>
      </c>
      <c r="CA3" s="7">
        <f>SUM(CA5:CA24)</f>
        <v>0</v>
      </c>
      <c r="CB3" s="7">
        <f>SUM(CB5:CB24)</f>
        <v>0</v>
      </c>
      <c r="CC3" s="7">
        <f>SUM(CC5:CC24)</f>
        <v>0</v>
      </c>
      <c r="CD3" s="7">
        <f>SUM(CD5:CD24)</f>
        <v>0</v>
      </c>
      <c r="CE3" s="7">
        <f>SUM(CE5:CE24)</f>
        <v>0</v>
      </c>
      <c r="CF3" s="7">
        <f>SUM(CF5:CF24)</f>
        <v>0</v>
      </c>
      <c r="CG3" s="7">
        <f>SUM(CG5:CG24)</f>
        <v>0</v>
      </c>
      <c r="CH3" s="7">
        <f>SUM(CH5:CH24)</f>
        <v>24479</v>
      </c>
      <c r="CI3" s="7">
        <f>SUM(CI5:CI24)</f>
        <v>4113347</v>
      </c>
      <c r="CJ3" s="7">
        <f>SUM(CJ5:CJ24)</f>
        <v>272803</v>
      </c>
      <c r="CK3" s="7">
        <f>SUM(CK5:CK24)</f>
        <v>711598</v>
      </c>
      <c r="CL3" s="7">
        <f>SUM(CL5:CL24)</f>
        <v>0</v>
      </c>
      <c r="CM3" s="7">
        <f>SUM(CM5:CM24)</f>
        <v>1991</v>
      </c>
      <c r="CN3" s="7">
        <f>SUM(CN5:CN24)</f>
        <v>0</v>
      </c>
      <c r="CO3" s="7">
        <f>SUM(CO5:CO24)</f>
        <v>0</v>
      </c>
      <c r="CP3" s="7">
        <f>SUM(CP5:CP24)</f>
        <v>11142</v>
      </c>
      <c r="CQ3" s="7">
        <f>SUM(CQ5:CQ24)</f>
        <v>0</v>
      </c>
      <c r="CR3" s="7">
        <f>SUM(CR5:CR24)</f>
        <v>255</v>
      </c>
      <c r="CS3" s="7">
        <f>SUM(CS5:CS24)</f>
        <v>0</v>
      </c>
      <c r="CT3" s="7">
        <f>SUM(CT5:CT24)</f>
        <v>24479</v>
      </c>
      <c r="CU3" s="7">
        <f>SUM(CU5:CU24)</f>
        <v>0</v>
      </c>
      <c r="CV3" s="7">
        <f>SUM(CV5:CV24)</f>
        <v>0</v>
      </c>
      <c r="CW3" s="7">
        <f>SUM(CW5:CW24)</f>
        <v>0</v>
      </c>
      <c r="CX3" s="7">
        <f>SUM(CX5:CX24)</f>
        <v>0</v>
      </c>
      <c r="CY3" s="7">
        <f>SUM(CY5:CY24)</f>
        <v>0</v>
      </c>
      <c r="CZ3" s="7">
        <f>SUM(CZ5:CZ24)</f>
        <v>0</v>
      </c>
      <c r="DA3" s="7">
        <f>SUM(DA5:DA24)</f>
        <v>0</v>
      </c>
      <c r="DB3" s="7">
        <f>SUM(DB5:DB24)</f>
        <v>0</v>
      </c>
      <c r="DC3" s="7">
        <f>SUM(DC5:DC24)</f>
        <v>0</v>
      </c>
      <c r="DD3" s="7">
        <f>SUM(DD5:DD24)</f>
        <v>0</v>
      </c>
      <c r="DE3" s="7">
        <f>SUM(DE5:DE24)</f>
        <v>0</v>
      </c>
      <c r="DF3" s="7">
        <f>SUM(DF5:DF24)</f>
        <v>0</v>
      </c>
      <c r="DG3" s="7">
        <f>SUM(DG5:DG24)</f>
        <v>0</v>
      </c>
      <c r="DH3" s="7">
        <f>SUM(DH5:DH24)</f>
        <v>0</v>
      </c>
      <c r="DI3" s="7">
        <f>SUM(DI5:DI24)</f>
        <v>0</v>
      </c>
      <c r="DJ3" s="7">
        <f>SUM(DJ5:DJ24)</f>
        <v>0</v>
      </c>
      <c r="DK3" s="7">
        <f>SUM(DK5:DK24)</f>
        <v>0</v>
      </c>
      <c r="DL3" s="7">
        <f>SUM(DL5:DL24)</f>
        <v>0</v>
      </c>
      <c r="DM3" s="7">
        <f>SUM(DM5:DM24)</f>
        <v>0</v>
      </c>
      <c r="DN3" s="7">
        <f>SUM(DN5:DN24)</f>
        <v>0</v>
      </c>
      <c r="DO3" s="7">
        <f>SUM(DO5:DO24)</f>
        <v>0</v>
      </c>
      <c r="DP3" s="7">
        <f>SUM(DP5:DP24)</f>
        <v>0</v>
      </c>
      <c r="DQ3" s="7">
        <f>SUM(DQ5:DQ24)</f>
        <v>0</v>
      </c>
      <c r="DR3" s="7">
        <f>SUM(DR5:DR24)</f>
        <v>0</v>
      </c>
      <c r="DS3" s="7">
        <f>SUM(DS5:DS24)</f>
        <v>0</v>
      </c>
      <c r="DT3" s="7">
        <f>SUM(DT5:DT24)</f>
        <v>0</v>
      </c>
      <c r="DU3" s="7">
        <f>SUM(DU5:DU24)</f>
        <v>0</v>
      </c>
      <c r="DV3" s="7">
        <f>SUM(DV5:DV24)</f>
        <v>1022268</v>
      </c>
      <c r="DW3" s="7">
        <f>SUM(DW5:DW24)</f>
        <v>3091079</v>
      </c>
      <c r="DX3" s="7">
        <f>SUM(DX5:DX24)</f>
        <v>0</v>
      </c>
      <c r="DY3" s="7">
        <f>SUM(DY5:DY24)</f>
        <v>0</v>
      </c>
      <c r="DZ3" s="7">
        <f>SUM(DZ5:DZ24)</f>
        <v>0</v>
      </c>
      <c r="EA3" s="7">
        <f>SUM(EA5:EA24)</f>
        <v>0</v>
      </c>
      <c r="EB3" s="7">
        <f>SUM(EB5:EB24)</f>
        <v>0</v>
      </c>
      <c r="EC3" s="7">
        <f>SUM(EC5:EC24)</f>
        <v>36319</v>
      </c>
      <c r="ED3" s="7">
        <f>SUM(ED5:ED24)</f>
        <v>0</v>
      </c>
      <c r="EE3" s="7">
        <f>SUM(EE5:EE24)</f>
        <v>36319</v>
      </c>
      <c r="EF3" s="7">
        <f>SUM(EF5:EF24)</f>
        <v>3127398</v>
      </c>
    </row>
    <row r="4" spans="1:149" x14ac:dyDescent="0.35">
      <c r="A4" s="8" t="s">
        <v>16</v>
      </c>
      <c r="B4" s="9" t="s">
        <v>17</v>
      </c>
      <c r="C4" s="9" t="s">
        <v>18</v>
      </c>
      <c r="D4" s="10" t="s">
        <v>19</v>
      </c>
      <c r="E4" s="10" t="s">
        <v>20</v>
      </c>
      <c r="F4" s="10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  <c r="AH4" s="9" t="s">
        <v>49</v>
      </c>
      <c r="AI4" s="9" t="s">
        <v>50</v>
      </c>
      <c r="AJ4" s="9" t="s">
        <v>51</v>
      </c>
      <c r="AK4" s="9" t="s">
        <v>52</v>
      </c>
      <c r="AL4" s="9" t="s">
        <v>53</v>
      </c>
      <c r="AM4" s="9" t="s">
        <v>54</v>
      </c>
      <c r="AN4" s="9" t="s">
        <v>55</v>
      </c>
      <c r="AO4" s="9" t="s">
        <v>56</v>
      </c>
      <c r="AP4" s="9" t="s">
        <v>57</v>
      </c>
      <c r="AQ4" s="9" t="s">
        <v>58</v>
      </c>
      <c r="AR4" s="9" t="s">
        <v>59</v>
      </c>
      <c r="AS4" s="9" t="s">
        <v>60</v>
      </c>
      <c r="AT4" s="9" t="s">
        <v>61</v>
      </c>
      <c r="AU4" s="9" t="s">
        <v>62</v>
      </c>
      <c r="AV4" s="9" t="s">
        <v>63</v>
      </c>
      <c r="AW4" s="9" t="s">
        <v>64</v>
      </c>
      <c r="AX4" s="9" t="s">
        <v>65</v>
      </c>
      <c r="AY4" s="9" t="s">
        <v>66</v>
      </c>
      <c r="AZ4" s="9" t="s">
        <v>67</v>
      </c>
      <c r="BA4" s="9" t="s">
        <v>68</v>
      </c>
      <c r="BB4" s="9" t="s">
        <v>69</v>
      </c>
      <c r="BC4" s="9" t="s">
        <v>70</v>
      </c>
      <c r="BD4" s="9" t="s">
        <v>71</v>
      </c>
      <c r="BE4" s="9" t="s">
        <v>72</v>
      </c>
      <c r="BF4" s="9" t="s">
        <v>73</v>
      </c>
      <c r="BG4" s="9" t="s">
        <v>74</v>
      </c>
      <c r="BH4" s="9" t="s">
        <v>75</v>
      </c>
      <c r="BI4" s="9" t="s">
        <v>76</v>
      </c>
      <c r="BJ4" s="9" t="s">
        <v>77</v>
      </c>
      <c r="BK4" s="9" t="s">
        <v>78</v>
      </c>
      <c r="BL4" s="9" t="s">
        <v>79</v>
      </c>
      <c r="BM4" s="9" t="s">
        <v>80</v>
      </c>
      <c r="BN4" s="9" t="s">
        <v>81</v>
      </c>
      <c r="BO4" s="9" t="s">
        <v>82</v>
      </c>
      <c r="BP4" s="9" t="s">
        <v>83</v>
      </c>
      <c r="BQ4" s="9" t="s">
        <v>84</v>
      </c>
      <c r="BR4" s="9" t="s">
        <v>85</v>
      </c>
      <c r="BS4" s="9" t="s">
        <v>86</v>
      </c>
      <c r="BT4" s="9" t="s">
        <v>87</v>
      </c>
      <c r="BU4" s="9" t="s">
        <v>88</v>
      </c>
      <c r="BV4" s="9" t="s">
        <v>89</v>
      </c>
      <c r="BW4" s="9" t="s">
        <v>90</v>
      </c>
      <c r="BX4" s="9" t="s">
        <v>91</v>
      </c>
      <c r="BY4" s="9" t="s">
        <v>92</v>
      </c>
      <c r="BZ4" s="9" t="s">
        <v>93</v>
      </c>
      <c r="CA4" s="9" t="s">
        <v>94</v>
      </c>
      <c r="CB4" s="9" t="s">
        <v>95</v>
      </c>
      <c r="CC4" s="9" t="s">
        <v>96</v>
      </c>
      <c r="CD4" s="9" t="s">
        <v>97</v>
      </c>
      <c r="CE4" s="9" t="s">
        <v>98</v>
      </c>
      <c r="CF4" s="9" t="s">
        <v>99</v>
      </c>
      <c r="CG4" s="9" t="s">
        <v>100</v>
      </c>
      <c r="CH4" s="9" t="s">
        <v>101</v>
      </c>
      <c r="CI4" s="9" t="s">
        <v>102</v>
      </c>
      <c r="CJ4" s="9" t="s">
        <v>103</v>
      </c>
      <c r="CK4" s="9" t="s">
        <v>104</v>
      </c>
      <c r="CL4" s="9" t="s">
        <v>105</v>
      </c>
      <c r="CM4" s="9" t="s">
        <v>106</v>
      </c>
      <c r="CN4" s="9" t="s">
        <v>107</v>
      </c>
      <c r="CO4" s="9" t="s">
        <v>108</v>
      </c>
      <c r="CP4" s="9" t="s">
        <v>109</v>
      </c>
      <c r="CQ4" s="9" t="s">
        <v>110</v>
      </c>
      <c r="CR4" s="9" t="s">
        <v>111</v>
      </c>
      <c r="CS4" s="9" t="s">
        <v>112</v>
      </c>
      <c r="CT4" s="9" t="s">
        <v>113</v>
      </c>
      <c r="CU4" s="9" t="s">
        <v>114</v>
      </c>
      <c r="CV4" s="9" t="s">
        <v>115</v>
      </c>
      <c r="CW4" s="9" t="s">
        <v>116</v>
      </c>
      <c r="CX4" s="9" t="s">
        <v>117</v>
      </c>
      <c r="CY4" s="9" t="s">
        <v>118</v>
      </c>
      <c r="CZ4" s="9" t="s">
        <v>119</v>
      </c>
      <c r="DA4" s="9" t="s">
        <v>120</v>
      </c>
      <c r="DB4" s="9" t="s">
        <v>121</v>
      </c>
      <c r="DC4" s="9" t="s">
        <v>122</v>
      </c>
      <c r="DD4" s="9" t="s">
        <v>123</v>
      </c>
      <c r="DE4" s="9" t="s">
        <v>124</v>
      </c>
      <c r="DF4" s="9" t="s">
        <v>125</v>
      </c>
      <c r="DG4" s="9" t="s">
        <v>126</v>
      </c>
      <c r="DH4" s="9" t="s">
        <v>127</v>
      </c>
      <c r="DI4" s="9" t="s">
        <v>128</v>
      </c>
      <c r="DJ4" s="9" t="s">
        <v>129</v>
      </c>
      <c r="DK4" s="9" t="s">
        <v>130</v>
      </c>
      <c r="DL4" s="9" t="s">
        <v>131</v>
      </c>
      <c r="DM4" s="9" t="s">
        <v>132</v>
      </c>
      <c r="DN4" s="9" t="s">
        <v>133</v>
      </c>
      <c r="DO4" s="9" t="s">
        <v>134</v>
      </c>
      <c r="DP4" s="9" t="s">
        <v>135</v>
      </c>
      <c r="DQ4" s="9" t="s">
        <v>136</v>
      </c>
      <c r="DR4" s="9" t="s">
        <v>137</v>
      </c>
      <c r="DS4" s="9" t="s">
        <v>138</v>
      </c>
      <c r="DT4" s="9" t="s">
        <v>139</v>
      </c>
      <c r="DU4" s="9" t="s">
        <v>140</v>
      </c>
      <c r="DV4" s="9" t="s">
        <v>141</v>
      </c>
      <c r="DW4" s="9" t="s">
        <v>142</v>
      </c>
      <c r="DX4" s="9" t="s">
        <v>143</v>
      </c>
      <c r="DY4" s="9" t="s">
        <v>144</v>
      </c>
      <c r="DZ4" s="9" t="s">
        <v>145</v>
      </c>
      <c r="EA4" s="10" t="s">
        <v>146</v>
      </c>
      <c r="EB4" s="10" t="s">
        <v>147</v>
      </c>
      <c r="EC4" s="10" t="s">
        <v>148</v>
      </c>
      <c r="ED4" s="10" t="s">
        <v>149</v>
      </c>
      <c r="EE4" s="10" t="s">
        <v>150</v>
      </c>
      <c r="EF4" s="10" t="s">
        <v>151</v>
      </c>
      <c r="EG4" s="11" t="s">
        <v>152</v>
      </c>
      <c r="EH4" s="12" t="s">
        <v>153</v>
      </c>
      <c r="EK4" s="13" t="s">
        <v>154</v>
      </c>
      <c r="EL4" s="13" t="s">
        <v>155</v>
      </c>
      <c r="EM4" s="13" t="s">
        <v>156</v>
      </c>
      <c r="EN4" s="13" t="s">
        <v>157</v>
      </c>
      <c r="EO4" s="13" t="s">
        <v>158</v>
      </c>
      <c r="EQ4" s="13" t="s">
        <v>154</v>
      </c>
      <c r="ER4" s="13" t="s">
        <v>155</v>
      </c>
      <c r="ES4" s="13" t="s">
        <v>159</v>
      </c>
    </row>
    <row r="5" spans="1:149" x14ac:dyDescent="0.35">
      <c r="A5" s="26">
        <v>1111</v>
      </c>
      <c r="B5" s="26" t="s">
        <v>452</v>
      </c>
      <c r="C5" s="15" t="s">
        <v>160</v>
      </c>
      <c r="D5" s="16">
        <v>30747</v>
      </c>
      <c r="E5" s="16">
        <v>44454</v>
      </c>
      <c r="F5" s="16"/>
      <c r="G5" s="15" t="s">
        <v>161</v>
      </c>
      <c r="H5" s="15" t="s">
        <v>162</v>
      </c>
      <c r="I5" s="15" t="s">
        <v>163</v>
      </c>
      <c r="J5" s="15" t="s">
        <v>163</v>
      </c>
      <c r="K5" s="15" t="s">
        <v>164</v>
      </c>
      <c r="L5" s="15" t="s">
        <v>165</v>
      </c>
      <c r="M5" s="15" t="s">
        <v>166</v>
      </c>
      <c r="N5" s="15" t="s">
        <v>167</v>
      </c>
      <c r="O5" s="15" t="s">
        <v>168</v>
      </c>
      <c r="P5" s="15" t="s">
        <v>169</v>
      </c>
      <c r="Q5" s="15" t="s">
        <v>170</v>
      </c>
      <c r="R5" s="15" t="s">
        <v>171</v>
      </c>
      <c r="S5" s="15" t="s">
        <v>172</v>
      </c>
      <c r="T5" s="15" t="s">
        <v>173</v>
      </c>
      <c r="U5" s="15" t="s">
        <v>174</v>
      </c>
      <c r="V5" s="17" t="s">
        <v>175</v>
      </c>
      <c r="W5" s="15" t="s">
        <v>175</v>
      </c>
      <c r="X5" s="15" t="s">
        <v>175</v>
      </c>
      <c r="Y5" s="17">
        <v>30</v>
      </c>
      <c r="Z5" s="17">
        <v>30</v>
      </c>
      <c r="AA5" s="17">
        <v>0</v>
      </c>
      <c r="AB5" s="17">
        <v>0</v>
      </c>
      <c r="AC5" s="17">
        <v>0</v>
      </c>
      <c r="AD5" s="18">
        <v>642932</v>
      </c>
      <c r="AE5" s="18">
        <v>0</v>
      </c>
      <c r="AF5" s="18">
        <v>321466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244314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1208712</v>
      </c>
      <c r="CJ5" s="18">
        <v>77152</v>
      </c>
      <c r="CK5" s="18">
        <v>394953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35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472140</v>
      </c>
      <c r="DW5" s="18">
        <v>736572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>
        <v>736572</v>
      </c>
      <c r="EG5" s="19" t="s">
        <v>176</v>
      </c>
      <c r="EH5" s="20" t="s">
        <v>177</v>
      </c>
      <c r="EJ5" s="4" t="s">
        <v>177</v>
      </c>
      <c r="EK5" s="4">
        <v>0</v>
      </c>
      <c r="EL5" s="4">
        <v>0</v>
      </c>
      <c r="EQ5" s="5" t="s">
        <v>2</v>
      </c>
      <c r="ER5" s="5" t="s">
        <v>2</v>
      </c>
    </row>
    <row r="6" spans="1:149" x14ac:dyDescent="0.35">
      <c r="A6" s="14">
        <f>A5+300</f>
        <v>1411</v>
      </c>
      <c r="B6" s="14" t="s">
        <v>453</v>
      </c>
      <c r="C6" s="15" t="s">
        <v>160</v>
      </c>
      <c r="D6" s="16">
        <v>33670</v>
      </c>
      <c r="E6" s="16">
        <v>44487</v>
      </c>
      <c r="F6" s="16"/>
      <c r="G6" s="15" t="s">
        <v>178</v>
      </c>
      <c r="H6" s="15" t="s">
        <v>179</v>
      </c>
      <c r="I6" s="15" t="s">
        <v>180</v>
      </c>
      <c r="J6" s="15" t="s">
        <v>180</v>
      </c>
      <c r="K6" s="15" t="s">
        <v>181</v>
      </c>
      <c r="L6" s="15" t="s">
        <v>165</v>
      </c>
      <c r="M6" s="15" t="s">
        <v>182</v>
      </c>
      <c r="N6" s="15" t="s">
        <v>167</v>
      </c>
      <c r="O6" s="15" t="s">
        <v>168</v>
      </c>
      <c r="P6" s="15" t="s">
        <v>183</v>
      </c>
      <c r="Q6" s="15" t="s">
        <v>184</v>
      </c>
      <c r="R6" s="15" t="s">
        <v>185</v>
      </c>
      <c r="S6" s="15" t="s">
        <v>186</v>
      </c>
      <c r="T6" s="15" t="s">
        <v>187</v>
      </c>
      <c r="U6" s="15" t="s">
        <v>188</v>
      </c>
      <c r="V6" s="17" t="s">
        <v>175</v>
      </c>
      <c r="W6" s="15" t="s">
        <v>175</v>
      </c>
      <c r="X6" s="15" t="s">
        <v>175</v>
      </c>
      <c r="Y6" s="17">
        <v>29</v>
      </c>
      <c r="Z6" s="17">
        <v>30</v>
      </c>
      <c r="AA6" s="17">
        <v>0</v>
      </c>
      <c r="AB6" s="17">
        <v>0</v>
      </c>
      <c r="AC6" s="17">
        <v>0</v>
      </c>
      <c r="AD6" s="18">
        <v>27338</v>
      </c>
      <c r="AE6" s="18">
        <v>0</v>
      </c>
      <c r="AF6" s="18">
        <v>13670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10389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51397</v>
      </c>
      <c r="CJ6" s="18">
        <v>3281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35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3316</v>
      </c>
      <c r="DW6" s="18">
        <v>48081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48081</v>
      </c>
      <c r="EG6" s="19" t="s">
        <v>176</v>
      </c>
      <c r="EH6" s="20" t="s">
        <v>177</v>
      </c>
      <c r="EJ6" s="4" t="s">
        <v>177</v>
      </c>
      <c r="EK6" s="4">
        <v>0</v>
      </c>
      <c r="EL6" s="4">
        <v>0</v>
      </c>
      <c r="EQ6" s="5" t="s">
        <v>2</v>
      </c>
      <c r="ER6" s="5" t="s">
        <v>2</v>
      </c>
    </row>
    <row r="7" spans="1:149" x14ac:dyDescent="0.35">
      <c r="A7" s="14">
        <f t="shared" ref="A7:A24" si="0">A6+300</f>
        <v>1711</v>
      </c>
      <c r="B7" s="14" t="s">
        <v>454</v>
      </c>
      <c r="C7" s="15" t="s">
        <v>189</v>
      </c>
      <c r="D7" s="16">
        <v>31506</v>
      </c>
      <c r="E7" s="16">
        <v>44487</v>
      </c>
      <c r="F7" s="16"/>
      <c r="G7" s="15" t="s">
        <v>190</v>
      </c>
      <c r="H7" s="15" t="s">
        <v>191</v>
      </c>
      <c r="I7" s="15" t="s">
        <v>180</v>
      </c>
      <c r="J7" s="15" t="s">
        <v>192</v>
      </c>
      <c r="K7" s="15" t="s">
        <v>193</v>
      </c>
      <c r="L7" s="15" t="s">
        <v>194</v>
      </c>
      <c r="M7" s="15" t="s">
        <v>195</v>
      </c>
      <c r="N7" s="15" t="s">
        <v>196</v>
      </c>
      <c r="O7" s="15" t="s">
        <v>197</v>
      </c>
      <c r="P7" s="15" t="s">
        <v>183</v>
      </c>
      <c r="Q7" s="15" t="s">
        <v>198</v>
      </c>
      <c r="R7" s="15" t="s">
        <v>199</v>
      </c>
      <c r="S7" s="15" t="s">
        <v>200</v>
      </c>
      <c r="T7" s="15" t="s">
        <v>201</v>
      </c>
      <c r="U7" s="15" t="s">
        <v>202</v>
      </c>
      <c r="V7" s="17" t="s">
        <v>175</v>
      </c>
      <c r="W7" s="15" t="s">
        <v>175</v>
      </c>
      <c r="X7" s="15" t="s">
        <v>175</v>
      </c>
      <c r="Y7" s="17">
        <v>26</v>
      </c>
      <c r="Z7" s="17">
        <v>30</v>
      </c>
      <c r="AA7" s="17">
        <v>0</v>
      </c>
      <c r="AB7" s="17">
        <v>0</v>
      </c>
      <c r="AC7" s="17">
        <v>0</v>
      </c>
      <c r="AD7" s="18">
        <v>53601</v>
      </c>
      <c r="AE7" s="18">
        <v>0</v>
      </c>
      <c r="AF7" s="18">
        <v>26801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20368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100770</v>
      </c>
      <c r="CJ7" s="18">
        <v>6432</v>
      </c>
      <c r="CK7" s="18">
        <v>6814</v>
      </c>
      <c r="CL7" s="18">
        <v>0</v>
      </c>
      <c r="CM7" s="18">
        <v>200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13446</v>
      </c>
      <c r="DW7" s="18">
        <v>87324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87324</v>
      </c>
      <c r="EG7" s="19" t="s">
        <v>176</v>
      </c>
      <c r="EH7" s="20" t="s">
        <v>177</v>
      </c>
      <c r="EJ7" s="4" t="s">
        <v>177</v>
      </c>
      <c r="EK7" s="4">
        <v>0</v>
      </c>
      <c r="EL7" s="4">
        <v>0</v>
      </c>
      <c r="EQ7" s="5" t="s">
        <v>2</v>
      </c>
      <c r="ER7" s="5" t="s">
        <v>2</v>
      </c>
    </row>
    <row r="8" spans="1:149" x14ac:dyDescent="0.35">
      <c r="A8" s="14">
        <f t="shared" si="0"/>
        <v>2011</v>
      </c>
      <c r="B8" s="14" t="s">
        <v>455</v>
      </c>
      <c r="C8" s="15" t="s">
        <v>189</v>
      </c>
      <c r="D8" s="16">
        <v>27064</v>
      </c>
      <c r="E8" s="16">
        <v>44498</v>
      </c>
      <c r="F8" s="16"/>
      <c r="G8" s="15" t="s">
        <v>203</v>
      </c>
      <c r="H8" s="15" t="s">
        <v>191</v>
      </c>
      <c r="I8" s="15" t="s">
        <v>180</v>
      </c>
      <c r="J8" s="15" t="s">
        <v>192</v>
      </c>
      <c r="K8" s="15" t="s">
        <v>204</v>
      </c>
      <c r="L8" s="15" t="s">
        <v>205</v>
      </c>
      <c r="M8" s="15" t="s">
        <v>206</v>
      </c>
      <c r="N8" s="15" t="s">
        <v>207</v>
      </c>
      <c r="O8" s="15" t="s">
        <v>208</v>
      </c>
      <c r="P8" s="15" t="s">
        <v>183</v>
      </c>
      <c r="Q8" s="15" t="s">
        <v>209</v>
      </c>
      <c r="R8" s="15" t="s">
        <v>210</v>
      </c>
      <c r="S8" s="15" t="s">
        <v>211</v>
      </c>
      <c r="T8" s="15" t="s">
        <v>212</v>
      </c>
      <c r="U8" s="15" t="s">
        <v>213</v>
      </c>
      <c r="V8" s="17" t="s">
        <v>175</v>
      </c>
      <c r="W8" s="15" t="s">
        <v>175</v>
      </c>
      <c r="X8" s="15" t="s">
        <v>175</v>
      </c>
      <c r="Y8" s="17">
        <v>30</v>
      </c>
      <c r="Z8" s="17">
        <v>30</v>
      </c>
      <c r="AA8" s="17">
        <v>0</v>
      </c>
      <c r="AB8" s="17">
        <v>0</v>
      </c>
      <c r="AC8" s="17">
        <v>0</v>
      </c>
      <c r="AD8" s="18">
        <v>65468</v>
      </c>
      <c r="AE8" s="18">
        <v>0</v>
      </c>
      <c r="AF8" s="18">
        <v>32734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24877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123079</v>
      </c>
      <c r="CJ8" s="18">
        <v>7856</v>
      </c>
      <c r="CK8" s="18">
        <v>7825</v>
      </c>
      <c r="CL8" s="18">
        <v>0</v>
      </c>
      <c r="CM8" s="18">
        <v>208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15889</v>
      </c>
      <c r="DW8" s="18">
        <v>107190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107190</v>
      </c>
      <c r="EG8" s="19" t="s">
        <v>176</v>
      </c>
      <c r="EH8" s="20" t="s">
        <v>177</v>
      </c>
      <c r="EJ8" s="4" t="s">
        <v>177</v>
      </c>
      <c r="EK8" s="4">
        <v>0</v>
      </c>
      <c r="EL8" s="4">
        <v>0</v>
      </c>
      <c r="EQ8" s="5" t="s">
        <v>2</v>
      </c>
      <c r="ER8" s="5" t="s">
        <v>2</v>
      </c>
    </row>
    <row r="9" spans="1:149" x14ac:dyDescent="0.35">
      <c r="A9" s="14">
        <f t="shared" si="0"/>
        <v>2311</v>
      </c>
      <c r="B9" s="14" t="s">
        <v>456</v>
      </c>
      <c r="C9" s="15" t="s">
        <v>160</v>
      </c>
      <c r="D9" s="16">
        <v>33647</v>
      </c>
      <c r="E9" s="16">
        <v>44515</v>
      </c>
      <c r="F9" s="16"/>
      <c r="G9" s="15" t="s">
        <v>214</v>
      </c>
      <c r="H9" s="15" t="s">
        <v>215</v>
      </c>
      <c r="I9" s="15" t="s">
        <v>216</v>
      </c>
      <c r="J9" s="15" t="s">
        <v>217</v>
      </c>
      <c r="K9" s="15" t="s">
        <v>218</v>
      </c>
      <c r="L9" s="15" t="s">
        <v>165</v>
      </c>
      <c r="M9" s="15" t="s">
        <v>219</v>
      </c>
      <c r="N9" s="15" t="s">
        <v>167</v>
      </c>
      <c r="O9" s="15" t="s">
        <v>168</v>
      </c>
      <c r="P9" s="15" t="s">
        <v>169</v>
      </c>
      <c r="Q9" s="15" t="s">
        <v>220</v>
      </c>
      <c r="R9" s="15" t="s">
        <v>221</v>
      </c>
      <c r="S9" s="15" t="s">
        <v>222</v>
      </c>
      <c r="T9" s="15" t="s">
        <v>223</v>
      </c>
      <c r="U9" s="15" t="s">
        <v>224</v>
      </c>
      <c r="V9" s="17" t="s">
        <v>175</v>
      </c>
      <c r="W9" s="15" t="s">
        <v>175</v>
      </c>
      <c r="X9" s="15" t="s">
        <v>175</v>
      </c>
      <c r="Y9" s="17">
        <v>27</v>
      </c>
      <c r="Z9" s="17">
        <v>30</v>
      </c>
      <c r="AA9" s="17">
        <v>0</v>
      </c>
      <c r="AB9" s="17">
        <v>0</v>
      </c>
      <c r="AC9" s="17">
        <v>0</v>
      </c>
      <c r="AD9" s="18">
        <v>40011</v>
      </c>
      <c r="AE9" s="18">
        <v>0</v>
      </c>
      <c r="AF9" s="18">
        <v>20006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15203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75220</v>
      </c>
      <c r="CJ9" s="18">
        <v>4801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35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4836</v>
      </c>
      <c r="DW9" s="18">
        <v>70384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>
        <v>70384</v>
      </c>
      <c r="EG9" s="19" t="s">
        <v>176</v>
      </c>
      <c r="EH9" s="20" t="s">
        <v>177</v>
      </c>
      <c r="EJ9" s="4" t="s">
        <v>177</v>
      </c>
      <c r="EK9" s="4">
        <v>0</v>
      </c>
      <c r="EL9" s="4">
        <v>0</v>
      </c>
      <c r="EQ9" s="5" t="s">
        <v>2</v>
      </c>
      <c r="ER9" s="5" t="s">
        <v>2</v>
      </c>
    </row>
    <row r="10" spans="1:149" x14ac:dyDescent="0.35">
      <c r="A10" s="14">
        <f t="shared" si="0"/>
        <v>2611</v>
      </c>
      <c r="B10" s="14" t="s">
        <v>457</v>
      </c>
      <c r="C10" s="15" t="s">
        <v>189</v>
      </c>
      <c r="D10" s="16">
        <v>29484</v>
      </c>
      <c r="E10" s="16">
        <v>44532</v>
      </c>
      <c r="F10" s="16"/>
      <c r="G10" s="15" t="s">
        <v>225</v>
      </c>
      <c r="H10" s="15" t="s">
        <v>179</v>
      </c>
      <c r="I10" s="15" t="s">
        <v>180</v>
      </c>
      <c r="J10" s="15" t="s">
        <v>226</v>
      </c>
      <c r="K10" s="15" t="s">
        <v>227</v>
      </c>
      <c r="L10" s="15" t="s">
        <v>228</v>
      </c>
      <c r="M10" s="15" t="s">
        <v>229</v>
      </c>
      <c r="N10" s="15" t="s">
        <v>230</v>
      </c>
      <c r="O10" s="15" t="s">
        <v>231</v>
      </c>
      <c r="P10" s="15" t="s">
        <v>183</v>
      </c>
      <c r="Q10" s="15" t="s">
        <v>232</v>
      </c>
      <c r="R10" s="15" t="s">
        <v>233</v>
      </c>
      <c r="S10" s="15" t="s">
        <v>234</v>
      </c>
      <c r="T10" s="15" t="s">
        <v>235</v>
      </c>
      <c r="U10" s="15" t="s">
        <v>236</v>
      </c>
      <c r="V10" s="17" t="s">
        <v>175</v>
      </c>
      <c r="W10" s="15" t="s">
        <v>175</v>
      </c>
      <c r="X10" s="15" t="s">
        <v>175</v>
      </c>
      <c r="Y10" s="17">
        <v>30</v>
      </c>
      <c r="Z10" s="17">
        <v>30</v>
      </c>
      <c r="AA10" s="17">
        <v>0</v>
      </c>
      <c r="AB10" s="17">
        <v>0</v>
      </c>
      <c r="AC10" s="17">
        <v>0</v>
      </c>
      <c r="AD10" s="18">
        <v>73662</v>
      </c>
      <c r="AE10" s="18">
        <v>0</v>
      </c>
      <c r="AF10" s="18">
        <v>36831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27992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138485</v>
      </c>
      <c r="CJ10" s="18">
        <v>8839</v>
      </c>
      <c r="CK10" s="18">
        <v>10229</v>
      </c>
      <c r="CL10" s="18">
        <v>0</v>
      </c>
      <c r="CM10" s="18">
        <v>200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19268</v>
      </c>
      <c r="DW10" s="18">
        <v>119217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>
        <v>119217</v>
      </c>
      <c r="EG10" s="19" t="s">
        <v>176</v>
      </c>
      <c r="EH10" s="20" t="s">
        <v>177</v>
      </c>
      <c r="EJ10" s="4" t="s">
        <v>177</v>
      </c>
      <c r="EK10" s="4">
        <v>0</v>
      </c>
      <c r="EL10" s="4">
        <v>0</v>
      </c>
      <c r="EQ10" s="5" t="s">
        <v>2</v>
      </c>
      <c r="ER10" s="5" t="s">
        <v>2</v>
      </c>
    </row>
    <row r="11" spans="1:149" x14ac:dyDescent="0.35">
      <c r="A11" s="14">
        <f t="shared" si="0"/>
        <v>2911</v>
      </c>
      <c r="B11" s="14" t="s">
        <v>458</v>
      </c>
      <c r="C11" s="15" t="s">
        <v>189</v>
      </c>
      <c r="D11" s="16">
        <v>34422</v>
      </c>
      <c r="E11" s="16">
        <v>44532</v>
      </c>
      <c r="F11" s="16">
        <v>46210</v>
      </c>
      <c r="G11" s="15" t="s">
        <v>237</v>
      </c>
      <c r="H11" s="15" t="s">
        <v>179</v>
      </c>
      <c r="I11" s="15" t="s">
        <v>180</v>
      </c>
      <c r="J11" s="15" t="s">
        <v>226</v>
      </c>
      <c r="K11" s="15" t="s">
        <v>204</v>
      </c>
      <c r="L11" s="15" t="s">
        <v>205</v>
      </c>
      <c r="M11" s="15" t="s">
        <v>229</v>
      </c>
      <c r="N11" s="15" t="s">
        <v>238</v>
      </c>
      <c r="O11" s="15" t="s">
        <v>208</v>
      </c>
      <c r="P11" s="15" t="s">
        <v>239</v>
      </c>
      <c r="Q11" s="15" t="s">
        <v>240</v>
      </c>
      <c r="R11" s="15" t="s">
        <v>241</v>
      </c>
      <c r="S11" s="15" t="s">
        <v>242</v>
      </c>
      <c r="T11" s="15" t="s">
        <v>243</v>
      </c>
      <c r="U11" s="15" t="s">
        <v>244</v>
      </c>
      <c r="V11" s="17" t="s">
        <v>175</v>
      </c>
      <c r="W11" s="15" t="s">
        <v>175</v>
      </c>
      <c r="X11" s="15" t="s">
        <v>175</v>
      </c>
      <c r="Y11" s="17">
        <v>28</v>
      </c>
      <c r="Z11" s="17">
        <v>30</v>
      </c>
      <c r="AA11" s="17">
        <v>0</v>
      </c>
      <c r="AB11" s="17">
        <v>0</v>
      </c>
      <c r="AC11" s="17">
        <v>0</v>
      </c>
      <c r="AD11" s="18">
        <v>44069</v>
      </c>
      <c r="AE11" s="18">
        <v>0</v>
      </c>
      <c r="AF11" s="18">
        <v>22035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16746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82850</v>
      </c>
      <c r="CJ11" s="18">
        <v>5288</v>
      </c>
      <c r="CK11" s="18">
        <v>0</v>
      </c>
      <c r="CL11" s="18">
        <v>0</v>
      </c>
      <c r="CM11" s="18">
        <v>167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5455</v>
      </c>
      <c r="DW11" s="18">
        <v>77395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77395</v>
      </c>
      <c r="EG11" s="19" t="s">
        <v>176</v>
      </c>
      <c r="EH11" s="20" t="s">
        <v>245</v>
      </c>
      <c r="EJ11" s="4" t="s">
        <v>177</v>
      </c>
      <c r="EK11" s="5">
        <v>46150</v>
      </c>
      <c r="EL11" s="5">
        <v>46210</v>
      </c>
      <c r="EM11" s="4">
        <f>EL11-EK11+1</f>
        <v>61</v>
      </c>
      <c r="EN11" s="4">
        <v>60</v>
      </c>
      <c r="EQ11" s="5">
        <v>46150</v>
      </c>
      <c r="ER11" s="5">
        <v>46210</v>
      </c>
    </row>
    <row r="12" spans="1:149" x14ac:dyDescent="0.35">
      <c r="A12" s="14">
        <f t="shared" si="0"/>
        <v>3211</v>
      </c>
      <c r="B12" s="14" t="s">
        <v>459</v>
      </c>
      <c r="C12" s="15" t="s">
        <v>189</v>
      </c>
      <c r="D12" s="16">
        <v>30636</v>
      </c>
      <c r="E12" s="16">
        <v>44557</v>
      </c>
      <c r="F12" s="16"/>
      <c r="G12" s="15" t="s">
        <v>246</v>
      </c>
      <c r="H12" s="15" t="s">
        <v>247</v>
      </c>
      <c r="I12" s="15" t="s">
        <v>248</v>
      </c>
      <c r="J12" s="15" t="s">
        <v>249</v>
      </c>
      <c r="K12" s="15" t="s">
        <v>250</v>
      </c>
      <c r="L12" s="15" t="s">
        <v>165</v>
      </c>
      <c r="M12" s="15" t="s">
        <v>251</v>
      </c>
      <c r="N12" s="15" t="s">
        <v>167</v>
      </c>
      <c r="O12" s="15" t="s">
        <v>168</v>
      </c>
      <c r="P12" s="15" t="s">
        <v>252</v>
      </c>
      <c r="Q12" s="15" t="s">
        <v>253</v>
      </c>
      <c r="R12" s="15" t="s">
        <v>254</v>
      </c>
      <c r="S12" s="15" t="s">
        <v>255</v>
      </c>
      <c r="T12" s="15" t="s">
        <v>256</v>
      </c>
      <c r="U12" s="15" t="s">
        <v>257</v>
      </c>
      <c r="V12" s="17" t="s">
        <v>258</v>
      </c>
      <c r="W12" s="15" t="s">
        <v>175</v>
      </c>
      <c r="X12" s="15" t="s">
        <v>175</v>
      </c>
      <c r="Y12" s="17">
        <v>30</v>
      </c>
      <c r="Z12" s="17">
        <v>30</v>
      </c>
      <c r="AA12" s="17">
        <v>0</v>
      </c>
      <c r="AB12" s="17">
        <v>0</v>
      </c>
      <c r="AC12" s="17">
        <v>0</v>
      </c>
      <c r="AD12" s="18">
        <v>244792</v>
      </c>
      <c r="AE12" s="18">
        <v>0</v>
      </c>
      <c r="AF12" s="18">
        <v>100000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8800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9172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24479</v>
      </c>
      <c r="CI12" s="18">
        <v>387243</v>
      </c>
      <c r="CJ12" s="18">
        <v>29375</v>
      </c>
      <c r="CK12" s="18">
        <v>30779</v>
      </c>
      <c r="CL12" s="18">
        <v>0</v>
      </c>
      <c r="CM12" s="18">
        <v>0</v>
      </c>
      <c r="CN12" s="18">
        <v>0</v>
      </c>
      <c r="CO12" s="18">
        <v>0</v>
      </c>
      <c r="CP12" s="18">
        <v>8800</v>
      </c>
      <c r="CQ12" s="18">
        <v>0</v>
      </c>
      <c r="CR12" s="18">
        <v>35</v>
      </c>
      <c r="CS12" s="18">
        <v>0</v>
      </c>
      <c r="CT12" s="18">
        <v>24479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93468</v>
      </c>
      <c r="DW12" s="18">
        <v>293775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293775</v>
      </c>
      <c r="EG12" s="19" t="s">
        <v>176</v>
      </c>
      <c r="EH12" s="20" t="s">
        <v>177</v>
      </c>
      <c r="EJ12" s="4" t="s">
        <v>177</v>
      </c>
      <c r="EK12" s="4">
        <v>0</v>
      </c>
      <c r="EL12" s="4">
        <v>0</v>
      </c>
      <c r="EQ12" s="5" t="s">
        <v>2</v>
      </c>
      <c r="ER12" s="5" t="s">
        <v>2</v>
      </c>
    </row>
    <row r="13" spans="1:149" x14ac:dyDescent="0.35">
      <c r="A13" s="14">
        <f t="shared" si="0"/>
        <v>3511</v>
      </c>
      <c r="B13" s="14" t="s">
        <v>460</v>
      </c>
      <c r="C13" s="15" t="s">
        <v>160</v>
      </c>
      <c r="D13" s="16">
        <v>34122</v>
      </c>
      <c r="E13" s="16">
        <v>44560</v>
      </c>
      <c r="F13" s="16"/>
      <c r="G13" s="15" t="s">
        <v>259</v>
      </c>
      <c r="H13" s="15" t="s">
        <v>260</v>
      </c>
      <c r="I13" s="15" t="s">
        <v>180</v>
      </c>
      <c r="J13" s="15" t="s">
        <v>261</v>
      </c>
      <c r="K13" s="15" t="s">
        <v>262</v>
      </c>
      <c r="L13" s="15" t="s">
        <v>263</v>
      </c>
      <c r="M13" s="15" t="s">
        <v>264</v>
      </c>
      <c r="N13" s="15" t="s">
        <v>265</v>
      </c>
      <c r="O13" s="15" t="s">
        <v>266</v>
      </c>
      <c r="P13" s="15" t="s">
        <v>267</v>
      </c>
      <c r="Q13" s="15" t="s">
        <v>268</v>
      </c>
      <c r="R13" s="15" t="s">
        <v>269</v>
      </c>
      <c r="S13" s="15" t="s">
        <v>270</v>
      </c>
      <c r="T13" s="15" t="s">
        <v>271</v>
      </c>
      <c r="U13" s="15" t="s">
        <v>272</v>
      </c>
      <c r="V13" s="17" t="s">
        <v>175</v>
      </c>
      <c r="W13" s="15" t="s">
        <v>175</v>
      </c>
      <c r="X13" s="15" t="s">
        <v>175</v>
      </c>
      <c r="Y13" s="17">
        <v>29</v>
      </c>
      <c r="Z13" s="17">
        <v>30</v>
      </c>
      <c r="AA13" s="17">
        <v>0</v>
      </c>
      <c r="AB13" s="17">
        <v>0</v>
      </c>
      <c r="AC13" s="17">
        <v>0</v>
      </c>
      <c r="AD13" s="18">
        <v>32365</v>
      </c>
      <c r="AE13" s="18">
        <v>0</v>
      </c>
      <c r="AF13" s="18">
        <v>16183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12299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60847</v>
      </c>
      <c r="CJ13" s="18">
        <v>3884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3884</v>
      </c>
      <c r="DW13" s="18">
        <v>56963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56963</v>
      </c>
      <c r="EG13" s="19" t="s">
        <v>176</v>
      </c>
      <c r="EH13" s="20" t="s">
        <v>177</v>
      </c>
      <c r="EJ13" s="4" t="s">
        <v>177</v>
      </c>
      <c r="EK13" s="4">
        <v>0</v>
      </c>
      <c r="EL13" s="4">
        <v>0</v>
      </c>
      <c r="EQ13" s="5" t="s">
        <v>2</v>
      </c>
      <c r="ER13" s="5" t="s">
        <v>2</v>
      </c>
    </row>
    <row r="14" spans="1:149" x14ac:dyDescent="0.35">
      <c r="A14" s="14">
        <f t="shared" si="0"/>
        <v>3811</v>
      </c>
      <c r="B14" s="14" t="s">
        <v>461</v>
      </c>
      <c r="C14" s="15" t="s">
        <v>160</v>
      </c>
      <c r="D14" s="16">
        <v>31085</v>
      </c>
      <c r="E14" s="16">
        <v>44560</v>
      </c>
      <c r="F14" s="16"/>
      <c r="G14" s="15" t="s">
        <v>273</v>
      </c>
      <c r="H14" s="15" t="s">
        <v>260</v>
      </c>
      <c r="I14" s="15" t="s">
        <v>216</v>
      </c>
      <c r="J14" s="15" t="s">
        <v>274</v>
      </c>
      <c r="K14" s="15" t="s">
        <v>275</v>
      </c>
      <c r="L14" s="15" t="s">
        <v>263</v>
      </c>
      <c r="M14" s="15" t="s">
        <v>276</v>
      </c>
      <c r="N14" s="15" t="s">
        <v>265</v>
      </c>
      <c r="O14" s="15" t="s">
        <v>266</v>
      </c>
      <c r="P14" s="15" t="s">
        <v>277</v>
      </c>
      <c r="Q14" s="15" t="s">
        <v>278</v>
      </c>
      <c r="R14" s="15" t="s">
        <v>279</v>
      </c>
      <c r="S14" s="15" t="s">
        <v>280</v>
      </c>
      <c r="T14" s="15" t="s">
        <v>281</v>
      </c>
      <c r="U14" s="15" t="s">
        <v>282</v>
      </c>
      <c r="V14" s="17" t="s">
        <v>175</v>
      </c>
      <c r="W14" s="15" t="s">
        <v>175</v>
      </c>
      <c r="X14" s="15" t="s">
        <v>175</v>
      </c>
      <c r="Y14" s="17">
        <v>30</v>
      </c>
      <c r="Z14" s="17">
        <v>30</v>
      </c>
      <c r="AA14" s="17">
        <v>0</v>
      </c>
      <c r="AB14" s="17">
        <v>0</v>
      </c>
      <c r="AC14" s="17">
        <v>0</v>
      </c>
      <c r="AD14" s="18">
        <v>44316</v>
      </c>
      <c r="AE14" s="18">
        <v>0</v>
      </c>
      <c r="AF14" s="18">
        <v>22158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16840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83314</v>
      </c>
      <c r="CJ14" s="18">
        <v>5318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0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5318</v>
      </c>
      <c r="DW14" s="18">
        <v>77996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>
        <v>77996</v>
      </c>
      <c r="EG14" s="19" t="s">
        <v>176</v>
      </c>
      <c r="EH14" s="20" t="s">
        <v>177</v>
      </c>
      <c r="EJ14" s="4" t="s">
        <v>177</v>
      </c>
      <c r="EK14" s="4">
        <v>0</v>
      </c>
      <c r="EL14" s="4">
        <v>0</v>
      </c>
      <c r="EQ14" s="5" t="s">
        <v>2</v>
      </c>
      <c r="ER14" s="5" t="s">
        <v>2</v>
      </c>
    </row>
    <row r="15" spans="1:149" x14ac:dyDescent="0.35">
      <c r="A15" s="14">
        <f t="shared" si="0"/>
        <v>4111</v>
      </c>
      <c r="B15" s="14" t="s">
        <v>462</v>
      </c>
      <c r="C15" s="15" t="s">
        <v>160</v>
      </c>
      <c r="D15" s="16">
        <v>33987</v>
      </c>
      <c r="E15" s="16">
        <v>44564</v>
      </c>
      <c r="F15" s="16"/>
      <c r="G15" s="15" t="s">
        <v>283</v>
      </c>
      <c r="H15" s="15" t="s">
        <v>191</v>
      </c>
      <c r="I15" s="15" t="s">
        <v>284</v>
      </c>
      <c r="J15" s="15" t="s">
        <v>285</v>
      </c>
      <c r="K15" s="15" t="s">
        <v>286</v>
      </c>
      <c r="L15" s="15" t="s">
        <v>165</v>
      </c>
      <c r="M15" s="15" t="s">
        <v>287</v>
      </c>
      <c r="N15" s="15" t="s">
        <v>167</v>
      </c>
      <c r="O15" s="15" t="s">
        <v>168</v>
      </c>
      <c r="P15" s="15" t="s">
        <v>183</v>
      </c>
      <c r="Q15" s="15" t="s">
        <v>288</v>
      </c>
      <c r="R15" s="15" t="s">
        <v>289</v>
      </c>
      <c r="S15" s="15" t="s">
        <v>290</v>
      </c>
      <c r="T15" s="15" t="s">
        <v>291</v>
      </c>
      <c r="U15" s="15" t="s">
        <v>292</v>
      </c>
      <c r="V15" s="17" t="s">
        <v>175</v>
      </c>
      <c r="W15" s="15" t="s">
        <v>175</v>
      </c>
      <c r="X15" s="15" t="s">
        <v>175</v>
      </c>
      <c r="Y15" s="17">
        <v>30</v>
      </c>
      <c r="Z15" s="17">
        <v>30</v>
      </c>
      <c r="AA15" s="17">
        <v>0</v>
      </c>
      <c r="AB15" s="17">
        <v>0</v>
      </c>
      <c r="AC15" s="17">
        <v>0</v>
      </c>
      <c r="AD15" s="18">
        <v>110510</v>
      </c>
      <c r="AE15" s="18">
        <v>0</v>
      </c>
      <c r="AF15" s="18">
        <v>55255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41994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207759</v>
      </c>
      <c r="CJ15" s="18">
        <v>13261</v>
      </c>
      <c r="CK15" s="18">
        <v>26840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35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40136</v>
      </c>
      <c r="DW15" s="18">
        <v>167623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167623</v>
      </c>
      <c r="EG15" s="19" t="s">
        <v>176</v>
      </c>
      <c r="EH15" s="20" t="s">
        <v>177</v>
      </c>
      <c r="EJ15" s="4" t="s">
        <v>177</v>
      </c>
      <c r="EK15" s="4">
        <v>0</v>
      </c>
      <c r="EL15" s="4">
        <v>0</v>
      </c>
      <c r="EQ15" s="5" t="s">
        <v>2</v>
      </c>
      <c r="ER15" s="5" t="s">
        <v>2</v>
      </c>
    </row>
    <row r="16" spans="1:149" x14ac:dyDescent="0.35">
      <c r="A16" s="14">
        <f t="shared" si="0"/>
        <v>4411</v>
      </c>
      <c r="B16" s="14" t="s">
        <v>463</v>
      </c>
      <c r="C16" s="15" t="s">
        <v>189</v>
      </c>
      <c r="D16" s="16">
        <v>31231</v>
      </c>
      <c r="E16" s="16">
        <v>44588</v>
      </c>
      <c r="F16" s="16"/>
      <c r="G16" s="15" t="s">
        <v>293</v>
      </c>
      <c r="H16" s="15" t="s">
        <v>191</v>
      </c>
      <c r="I16" s="15" t="s">
        <v>180</v>
      </c>
      <c r="J16" s="15" t="s">
        <v>294</v>
      </c>
      <c r="K16" s="15" t="s">
        <v>295</v>
      </c>
      <c r="L16" s="15" t="s">
        <v>194</v>
      </c>
      <c r="M16" s="15" t="s">
        <v>296</v>
      </c>
      <c r="N16" s="15" t="s">
        <v>196</v>
      </c>
      <c r="O16" s="15" t="s">
        <v>197</v>
      </c>
      <c r="P16" s="15" t="s">
        <v>297</v>
      </c>
      <c r="Q16" s="15" t="s">
        <v>298</v>
      </c>
      <c r="R16" s="15" t="s">
        <v>299</v>
      </c>
      <c r="S16" s="15" t="s">
        <v>300</v>
      </c>
      <c r="T16" s="15" t="s">
        <v>301</v>
      </c>
      <c r="U16" s="15" t="s">
        <v>302</v>
      </c>
      <c r="V16" s="17" t="s">
        <v>175</v>
      </c>
      <c r="W16" s="15" t="s">
        <v>175</v>
      </c>
      <c r="X16" s="15" t="s">
        <v>175</v>
      </c>
      <c r="Y16" s="17">
        <v>29</v>
      </c>
      <c r="Z16" s="17">
        <v>30</v>
      </c>
      <c r="AA16" s="17">
        <v>0</v>
      </c>
      <c r="AB16" s="17">
        <v>0</v>
      </c>
      <c r="AC16" s="17">
        <v>0</v>
      </c>
      <c r="AD16" s="18">
        <v>99413</v>
      </c>
      <c r="AE16" s="18">
        <v>0</v>
      </c>
      <c r="AF16" s="18">
        <v>49707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37777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186897</v>
      </c>
      <c r="CJ16" s="18">
        <v>11930</v>
      </c>
      <c r="CK16" s="18">
        <v>22767</v>
      </c>
      <c r="CL16" s="18">
        <v>0</v>
      </c>
      <c r="CM16" s="18">
        <v>200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34897</v>
      </c>
      <c r="DW16" s="18">
        <v>152000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152000</v>
      </c>
      <c r="EG16" s="19" t="s">
        <v>176</v>
      </c>
      <c r="EH16" s="20" t="s">
        <v>177</v>
      </c>
      <c r="EJ16" s="4" t="s">
        <v>177</v>
      </c>
      <c r="EK16" s="4">
        <v>0</v>
      </c>
      <c r="EL16" s="4">
        <v>0</v>
      </c>
      <c r="EQ16" s="5" t="s">
        <v>2</v>
      </c>
      <c r="ER16" s="5" t="s">
        <v>2</v>
      </c>
    </row>
    <row r="17" spans="1:148" x14ac:dyDescent="0.35">
      <c r="A17" s="14">
        <f t="shared" si="0"/>
        <v>4711</v>
      </c>
      <c r="B17" s="14" t="s">
        <v>464</v>
      </c>
      <c r="C17" s="15" t="s">
        <v>160</v>
      </c>
      <c r="D17" s="16">
        <v>26318</v>
      </c>
      <c r="E17" s="16">
        <v>44593</v>
      </c>
      <c r="F17" s="16"/>
      <c r="G17" s="15" t="s">
        <v>303</v>
      </c>
      <c r="H17" s="15" t="s">
        <v>304</v>
      </c>
      <c r="I17" s="15" t="s">
        <v>216</v>
      </c>
      <c r="J17" s="15" t="s">
        <v>305</v>
      </c>
      <c r="K17" s="15" t="s">
        <v>218</v>
      </c>
      <c r="L17" s="15" t="s">
        <v>165</v>
      </c>
      <c r="M17" s="15" t="s">
        <v>306</v>
      </c>
      <c r="N17" s="15" t="s">
        <v>167</v>
      </c>
      <c r="O17" s="15" t="s">
        <v>168</v>
      </c>
      <c r="P17" s="15" t="s">
        <v>307</v>
      </c>
      <c r="Q17" s="15" t="s">
        <v>308</v>
      </c>
      <c r="R17" s="15" t="s">
        <v>309</v>
      </c>
      <c r="S17" s="15" t="s">
        <v>310</v>
      </c>
      <c r="T17" s="15" t="s">
        <v>311</v>
      </c>
      <c r="U17" s="15" t="s">
        <v>312</v>
      </c>
      <c r="V17" s="17" t="s">
        <v>175</v>
      </c>
      <c r="W17" s="15" t="s">
        <v>175</v>
      </c>
      <c r="X17" s="15" t="s">
        <v>175</v>
      </c>
      <c r="Y17" s="17">
        <v>30</v>
      </c>
      <c r="Z17" s="17">
        <v>30</v>
      </c>
      <c r="AA17" s="17">
        <v>0</v>
      </c>
      <c r="AB17" s="17">
        <v>2</v>
      </c>
      <c r="AC17" s="17">
        <v>0</v>
      </c>
      <c r="AD17" s="18">
        <v>380249</v>
      </c>
      <c r="AE17" s="18">
        <v>24532</v>
      </c>
      <c r="AF17" s="18">
        <v>190125</v>
      </c>
      <c r="AG17" s="18">
        <v>12266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2200</v>
      </c>
      <c r="AO17" s="18">
        <v>142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63876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673390</v>
      </c>
      <c r="CJ17" s="18">
        <v>48574</v>
      </c>
      <c r="CK17" s="18">
        <v>175236</v>
      </c>
      <c r="CL17" s="18">
        <v>0</v>
      </c>
      <c r="CM17" s="18">
        <v>0</v>
      </c>
      <c r="CN17" s="18">
        <v>0</v>
      </c>
      <c r="CO17" s="18">
        <v>0</v>
      </c>
      <c r="CP17" s="18">
        <v>2342</v>
      </c>
      <c r="CQ17" s="18">
        <v>0</v>
      </c>
      <c r="CR17" s="18">
        <v>35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226187</v>
      </c>
      <c r="DW17" s="18">
        <v>447203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36319</v>
      </c>
      <c r="ED17" s="18">
        <v>0</v>
      </c>
      <c r="EE17" s="18">
        <v>36319</v>
      </c>
      <c r="EF17" s="18">
        <v>483522</v>
      </c>
      <c r="EG17" s="19" t="s">
        <v>176</v>
      </c>
      <c r="EH17" s="20" t="s">
        <v>177</v>
      </c>
      <c r="EJ17" s="4" t="s">
        <v>177</v>
      </c>
      <c r="EK17" s="4">
        <v>0</v>
      </c>
      <c r="EL17" s="4">
        <v>0</v>
      </c>
      <c r="EQ17" s="5" t="s">
        <v>2</v>
      </c>
      <c r="ER17" s="5" t="s">
        <v>2</v>
      </c>
    </row>
    <row r="18" spans="1:148" x14ac:dyDescent="0.35">
      <c r="A18" s="14">
        <f t="shared" si="0"/>
        <v>5011</v>
      </c>
      <c r="B18" s="14" t="s">
        <v>465</v>
      </c>
      <c r="C18" s="15" t="s">
        <v>189</v>
      </c>
      <c r="D18" s="16">
        <v>30856</v>
      </c>
      <c r="E18" s="16">
        <v>44599</v>
      </c>
      <c r="F18" s="16"/>
      <c r="G18" s="15" t="s">
        <v>313</v>
      </c>
      <c r="H18" s="15" t="s">
        <v>191</v>
      </c>
      <c r="I18" s="15" t="s">
        <v>180</v>
      </c>
      <c r="J18" s="15" t="s">
        <v>192</v>
      </c>
      <c r="K18" s="15" t="s">
        <v>314</v>
      </c>
      <c r="L18" s="15" t="s">
        <v>315</v>
      </c>
      <c r="M18" s="15" t="s">
        <v>206</v>
      </c>
      <c r="N18" s="15" t="s">
        <v>316</v>
      </c>
      <c r="O18" s="15" t="s">
        <v>317</v>
      </c>
      <c r="P18" s="15" t="s">
        <v>183</v>
      </c>
      <c r="Q18" s="15" t="s">
        <v>318</v>
      </c>
      <c r="R18" s="15" t="s">
        <v>319</v>
      </c>
      <c r="S18" s="15" t="s">
        <v>320</v>
      </c>
      <c r="T18" s="15" t="s">
        <v>321</v>
      </c>
      <c r="U18" s="15" t="s">
        <v>322</v>
      </c>
      <c r="V18" s="17" t="s">
        <v>175</v>
      </c>
      <c r="W18" s="15" t="s">
        <v>175</v>
      </c>
      <c r="X18" s="15" t="s">
        <v>175</v>
      </c>
      <c r="Y18" s="17">
        <v>29</v>
      </c>
      <c r="Z18" s="17">
        <v>30</v>
      </c>
      <c r="AA18" s="17">
        <v>0</v>
      </c>
      <c r="AB18" s="17">
        <v>0</v>
      </c>
      <c r="AC18" s="17">
        <v>0</v>
      </c>
      <c r="AD18" s="18">
        <v>61177</v>
      </c>
      <c r="AE18" s="18">
        <v>0</v>
      </c>
      <c r="AF18" s="18">
        <v>30589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23247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115013</v>
      </c>
      <c r="CJ18" s="18">
        <v>7341</v>
      </c>
      <c r="CK18" s="18">
        <v>7124</v>
      </c>
      <c r="CL18" s="18">
        <v>0</v>
      </c>
      <c r="CM18" s="18">
        <v>208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14673</v>
      </c>
      <c r="DW18" s="18">
        <v>100340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>
        <v>100340</v>
      </c>
      <c r="EG18" s="19" t="s">
        <v>176</v>
      </c>
      <c r="EH18" s="20" t="s">
        <v>177</v>
      </c>
      <c r="EJ18" s="4" t="s">
        <v>177</v>
      </c>
      <c r="EK18" s="4">
        <v>0</v>
      </c>
      <c r="EL18" s="4">
        <v>0</v>
      </c>
      <c r="EQ18" s="5" t="s">
        <v>2</v>
      </c>
      <c r="ER18" s="5" t="s">
        <v>2</v>
      </c>
    </row>
    <row r="19" spans="1:148" x14ac:dyDescent="0.35">
      <c r="A19" s="14">
        <f t="shared" si="0"/>
        <v>5311</v>
      </c>
      <c r="B19" s="14" t="s">
        <v>466</v>
      </c>
      <c r="C19" s="15" t="s">
        <v>160</v>
      </c>
      <c r="D19" s="16">
        <v>31535</v>
      </c>
      <c r="E19" s="16">
        <v>44617</v>
      </c>
      <c r="F19" s="16"/>
      <c r="G19" s="15" t="s">
        <v>323</v>
      </c>
      <c r="H19" s="15" t="s">
        <v>324</v>
      </c>
      <c r="I19" s="15" t="s">
        <v>180</v>
      </c>
      <c r="J19" s="15" t="s">
        <v>261</v>
      </c>
      <c r="K19" s="15" t="s">
        <v>325</v>
      </c>
      <c r="L19" s="15" t="s">
        <v>326</v>
      </c>
      <c r="M19" s="15" t="s">
        <v>327</v>
      </c>
      <c r="N19" s="15" t="s">
        <v>328</v>
      </c>
      <c r="O19" s="15" t="s">
        <v>329</v>
      </c>
      <c r="P19" s="15" t="s">
        <v>183</v>
      </c>
      <c r="Q19" s="15" t="s">
        <v>330</v>
      </c>
      <c r="R19" s="15" t="s">
        <v>331</v>
      </c>
      <c r="S19" s="15" t="s">
        <v>332</v>
      </c>
      <c r="T19" s="15" t="s">
        <v>333</v>
      </c>
      <c r="U19" s="15" t="s">
        <v>334</v>
      </c>
      <c r="V19" s="17" t="s">
        <v>175</v>
      </c>
      <c r="W19" s="15" t="s">
        <v>175</v>
      </c>
      <c r="X19" s="15" t="s">
        <v>175</v>
      </c>
      <c r="Y19" s="17">
        <v>30</v>
      </c>
      <c r="Z19" s="17">
        <v>30</v>
      </c>
      <c r="AA19" s="17">
        <v>0</v>
      </c>
      <c r="AB19" s="17">
        <v>0</v>
      </c>
      <c r="AC19" s="17">
        <v>0</v>
      </c>
      <c r="AD19" s="18">
        <v>23425</v>
      </c>
      <c r="AE19" s="18">
        <v>0</v>
      </c>
      <c r="AF19" s="18">
        <v>11713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8900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44038</v>
      </c>
      <c r="CJ19" s="18">
        <v>2811</v>
      </c>
      <c r="CK19" s="18">
        <v>0</v>
      </c>
      <c r="CL19" s="18">
        <v>0</v>
      </c>
      <c r="CM19" s="18">
        <v>208</v>
      </c>
      <c r="CN19" s="18">
        <v>0</v>
      </c>
      <c r="CO19" s="18">
        <v>0</v>
      </c>
      <c r="CP19" s="18">
        <v>0</v>
      </c>
      <c r="CQ19" s="18">
        <v>0</v>
      </c>
      <c r="CR19" s="18">
        <v>10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3029</v>
      </c>
      <c r="DW19" s="18">
        <v>41009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>
        <v>41009</v>
      </c>
      <c r="EG19" s="19" t="s">
        <v>176</v>
      </c>
      <c r="EH19" s="20" t="s">
        <v>177</v>
      </c>
      <c r="EJ19" s="4" t="s">
        <v>177</v>
      </c>
      <c r="EK19" s="4">
        <v>0</v>
      </c>
      <c r="EL19" s="4">
        <v>0</v>
      </c>
      <c r="EQ19" s="5" t="s">
        <v>2</v>
      </c>
      <c r="ER19" s="5" t="s">
        <v>2</v>
      </c>
    </row>
    <row r="20" spans="1:148" x14ac:dyDescent="0.35">
      <c r="A20" s="14">
        <f t="shared" si="0"/>
        <v>5611</v>
      </c>
      <c r="B20" s="14" t="s">
        <v>467</v>
      </c>
      <c r="C20" s="15" t="s">
        <v>189</v>
      </c>
      <c r="D20" s="16">
        <v>31841</v>
      </c>
      <c r="E20" s="16">
        <v>44655</v>
      </c>
      <c r="F20" s="16"/>
      <c r="G20" s="15" t="s">
        <v>335</v>
      </c>
      <c r="H20" s="15" t="s">
        <v>179</v>
      </c>
      <c r="I20" s="15" t="s">
        <v>180</v>
      </c>
      <c r="J20" s="15" t="s">
        <v>226</v>
      </c>
      <c r="K20" s="15" t="s">
        <v>336</v>
      </c>
      <c r="L20" s="15" t="s">
        <v>337</v>
      </c>
      <c r="M20" s="15" t="s">
        <v>229</v>
      </c>
      <c r="N20" s="15" t="s">
        <v>338</v>
      </c>
      <c r="O20" s="15" t="s">
        <v>339</v>
      </c>
      <c r="P20" s="15" t="s">
        <v>169</v>
      </c>
      <c r="Q20" s="15" t="s">
        <v>340</v>
      </c>
      <c r="R20" s="15" t="s">
        <v>341</v>
      </c>
      <c r="S20" s="15" t="s">
        <v>342</v>
      </c>
      <c r="T20" s="15" t="s">
        <v>343</v>
      </c>
      <c r="U20" s="15" t="s">
        <v>344</v>
      </c>
      <c r="V20" s="17" t="s">
        <v>175</v>
      </c>
      <c r="W20" s="15" t="s">
        <v>175</v>
      </c>
      <c r="X20" s="15" t="s">
        <v>175</v>
      </c>
      <c r="Y20" s="17">
        <v>30</v>
      </c>
      <c r="Z20" s="17">
        <v>30</v>
      </c>
      <c r="AA20" s="17">
        <v>0</v>
      </c>
      <c r="AB20" s="17">
        <v>0</v>
      </c>
      <c r="AC20" s="17">
        <v>0</v>
      </c>
      <c r="AD20" s="18">
        <v>54167</v>
      </c>
      <c r="AE20" s="18">
        <v>0</v>
      </c>
      <c r="AF20" s="18">
        <v>27084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20582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101833</v>
      </c>
      <c r="CJ20" s="18">
        <v>6500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6500</v>
      </c>
      <c r="DW20" s="18">
        <v>95333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95333</v>
      </c>
      <c r="EG20" s="19" t="s">
        <v>176</v>
      </c>
      <c r="EH20" s="20" t="s">
        <v>177</v>
      </c>
      <c r="EJ20" s="4" t="s">
        <v>177</v>
      </c>
      <c r="EK20" s="4">
        <v>0</v>
      </c>
      <c r="EL20" s="4">
        <v>0</v>
      </c>
      <c r="EQ20" s="5" t="s">
        <v>2</v>
      </c>
      <c r="ER20" s="5" t="s">
        <v>2</v>
      </c>
    </row>
    <row r="21" spans="1:148" x14ac:dyDescent="0.35">
      <c r="A21" s="14">
        <f t="shared" si="0"/>
        <v>5911</v>
      </c>
      <c r="B21" s="14" t="s">
        <v>468</v>
      </c>
      <c r="C21" s="15" t="s">
        <v>189</v>
      </c>
      <c r="D21" s="16">
        <v>29734</v>
      </c>
      <c r="E21" s="16">
        <v>44652</v>
      </c>
      <c r="F21" s="16"/>
      <c r="G21" s="15" t="s">
        <v>345</v>
      </c>
      <c r="H21" s="15" t="s">
        <v>260</v>
      </c>
      <c r="I21" s="15" t="s">
        <v>180</v>
      </c>
      <c r="J21" s="15" t="s">
        <v>226</v>
      </c>
      <c r="K21" s="15" t="s">
        <v>346</v>
      </c>
      <c r="L21" s="15" t="s">
        <v>347</v>
      </c>
      <c r="M21" s="15" t="s">
        <v>348</v>
      </c>
      <c r="N21" s="15" t="s">
        <v>349</v>
      </c>
      <c r="O21" s="15" t="s">
        <v>350</v>
      </c>
      <c r="P21" s="15" t="s">
        <v>351</v>
      </c>
      <c r="Q21" s="15" t="s">
        <v>352</v>
      </c>
      <c r="R21" s="15" t="s">
        <v>353</v>
      </c>
      <c r="S21" s="15" t="s">
        <v>354</v>
      </c>
      <c r="T21" s="15" t="s">
        <v>355</v>
      </c>
      <c r="U21" s="15" t="s">
        <v>356</v>
      </c>
      <c r="V21" s="17" t="s">
        <v>175</v>
      </c>
      <c r="W21" s="15" t="s">
        <v>175</v>
      </c>
      <c r="X21" s="15" t="s">
        <v>175</v>
      </c>
      <c r="Y21" s="17">
        <v>30</v>
      </c>
      <c r="Z21" s="17">
        <v>30</v>
      </c>
      <c r="AA21" s="17">
        <v>0</v>
      </c>
      <c r="AB21" s="17">
        <v>0</v>
      </c>
      <c r="AC21" s="17">
        <v>0</v>
      </c>
      <c r="AD21" s="18">
        <v>32424</v>
      </c>
      <c r="AE21" s="18">
        <v>0</v>
      </c>
      <c r="AF21" s="18">
        <v>16212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12320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60956</v>
      </c>
      <c r="CJ21" s="18">
        <v>3891</v>
      </c>
      <c r="CK21" s="18">
        <v>0</v>
      </c>
      <c r="CL21" s="18">
        <v>0</v>
      </c>
      <c r="CM21" s="18">
        <v>200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4091</v>
      </c>
      <c r="DW21" s="18">
        <v>56865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>
        <v>56865</v>
      </c>
      <c r="EG21" s="19" t="s">
        <v>176</v>
      </c>
      <c r="EH21" s="20" t="s">
        <v>177</v>
      </c>
      <c r="EJ21" s="4" t="s">
        <v>177</v>
      </c>
      <c r="EK21" s="4">
        <v>0</v>
      </c>
      <c r="EL21" s="4">
        <v>0</v>
      </c>
      <c r="EQ21" s="5" t="s">
        <v>2</v>
      </c>
      <c r="ER21" s="5" t="s">
        <v>2</v>
      </c>
    </row>
    <row r="22" spans="1:148" x14ac:dyDescent="0.35">
      <c r="A22" s="14">
        <f t="shared" si="0"/>
        <v>6211</v>
      </c>
      <c r="B22" s="14" t="s">
        <v>469</v>
      </c>
      <c r="C22" s="15" t="s">
        <v>189</v>
      </c>
      <c r="D22" s="16">
        <v>31557</v>
      </c>
      <c r="E22" s="16">
        <v>44665</v>
      </c>
      <c r="F22" s="16"/>
      <c r="G22" s="15" t="s">
        <v>357</v>
      </c>
      <c r="H22" s="15" t="s">
        <v>358</v>
      </c>
      <c r="I22" s="15" t="s">
        <v>180</v>
      </c>
      <c r="J22" s="15" t="s">
        <v>359</v>
      </c>
      <c r="K22" s="15" t="s">
        <v>360</v>
      </c>
      <c r="L22" s="15" t="s">
        <v>361</v>
      </c>
      <c r="M22" s="15" t="s">
        <v>362</v>
      </c>
      <c r="N22" s="15" t="s">
        <v>363</v>
      </c>
      <c r="O22" s="15" t="s">
        <v>197</v>
      </c>
      <c r="P22" s="15" t="s">
        <v>169</v>
      </c>
      <c r="Q22" s="15" t="s">
        <v>364</v>
      </c>
      <c r="R22" s="15" t="s">
        <v>365</v>
      </c>
      <c r="S22" s="15" t="s">
        <v>366</v>
      </c>
      <c r="T22" s="15" t="s">
        <v>367</v>
      </c>
      <c r="U22" s="15" t="s">
        <v>368</v>
      </c>
      <c r="V22" s="17" t="s">
        <v>175</v>
      </c>
      <c r="W22" s="15" t="s">
        <v>175</v>
      </c>
      <c r="X22" s="15" t="s">
        <v>175</v>
      </c>
      <c r="Y22" s="17">
        <v>30</v>
      </c>
      <c r="Z22" s="17">
        <v>30</v>
      </c>
      <c r="AA22" s="17">
        <v>0</v>
      </c>
      <c r="AB22" s="17">
        <v>0</v>
      </c>
      <c r="AC22" s="17">
        <v>0</v>
      </c>
      <c r="AD22" s="18">
        <v>90340</v>
      </c>
      <c r="AE22" s="18">
        <v>0</v>
      </c>
      <c r="AF22" s="18">
        <v>45170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34329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169839</v>
      </c>
      <c r="CJ22" s="18">
        <v>10841</v>
      </c>
      <c r="CK22" s="18">
        <v>16693</v>
      </c>
      <c r="CL22" s="18">
        <v>0</v>
      </c>
      <c r="CM22" s="18">
        <v>200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27734</v>
      </c>
      <c r="DW22" s="18">
        <v>142105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142105</v>
      </c>
      <c r="EG22" s="19" t="s">
        <v>176</v>
      </c>
      <c r="EH22" s="20" t="s">
        <v>177</v>
      </c>
      <c r="EJ22" s="4" t="s">
        <v>177</v>
      </c>
      <c r="EK22" s="4">
        <v>0</v>
      </c>
      <c r="EL22" s="4">
        <v>0</v>
      </c>
      <c r="EQ22" s="5" t="s">
        <v>2</v>
      </c>
      <c r="ER22" s="5" t="s">
        <v>2</v>
      </c>
    </row>
    <row r="23" spans="1:148" x14ac:dyDescent="0.35">
      <c r="A23" s="14">
        <f t="shared" si="0"/>
        <v>6511</v>
      </c>
      <c r="B23" s="14" t="s">
        <v>470</v>
      </c>
      <c r="C23" s="15" t="s">
        <v>189</v>
      </c>
      <c r="D23" s="16">
        <v>30964</v>
      </c>
      <c r="E23" s="16">
        <v>44708</v>
      </c>
      <c r="F23" s="16"/>
      <c r="G23" s="15" t="s">
        <v>369</v>
      </c>
      <c r="H23" s="15" t="s">
        <v>191</v>
      </c>
      <c r="I23" s="15" t="s">
        <v>180</v>
      </c>
      <c r="J23" s="15" t="s">
        <v>294</v>
      </c>
      <c r="K23" s="15" t="s">
        <v>370</v>
      </c>
      <c r="L23" s="15" t="s">
        <v>371</v>
      </c>
      <c r="M23" s="15" t="s">
        <v>296</v>
      </c>
      <c r="N23" s="15" t="s">
        <v>372</v>
      </c>
      <c r="O23" s="15" t="s">
        <v>373</v>
      </c>
      <c r="P23" s="15" t="s">
        <v>183</v>
      </c>
      <c r="Q23" s="15" t="s">
        <v>374</v>
      </c>
      <c r="R23" s="15" t="s">
        <v>375</v>
      </c>
      <c r="S23" s="15" t="s">
        <v>376</v>
      </c>
      <c r="T23" s="15" t="s">
        <v>377</v>
      </c>
      <c r="U23" s="15" t="s">
        <v>378</v>
      </c>
      <c r="V23" s="17" t="s">
        <v>175</v>
      </c>
      <c r="W23" s="15" t="s">
        <v>175</v>
      </c>
      <c r="X23" s="15" t="s">
        <v>175</v>
      </c>
      <c r="Y23" s="17">
        <v>29</v>
      </c>
      <c r="Z23" s="17">
        <v>30</v>
      </c>
      <c r="AA23" s="17">
        <v>0</v>
      </c>
      <c r="AB23" s="17">
        <v>0</v>
      </c>
      <c r="AC23" s="17">
        <v>0</v>
      </c>
      <c r="AD23" s="18">
        <v>49384</v>
      </c>
      <c r="AE23" s="18">
        <v>0</v>
      </c>
      <c r="AF23" s="18">
        <v>24693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18766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92843</v>
      </c>
      <c r="CJ23" s="18">
        <v>5926</v>
      </c>
      <c r="CK23" s="18">
        <v>0</v>
      </c>
      <c r="CL23" s="18">
        <v>0</v>
      </c>
      <c r="CM23" s="18">
        <v>200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6126</v>
      </c>
      <c r="DW23" s="18">
        <v>86717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>
        <v>86717</v>
      </c>
      <c r="EG23" s="19" t="s">
        <v>176</v>
      </c>
      <c r="EH23" s="20" t="s">
        <v>177</v>
      </c>
      <c r="EJ23" s="4" t="s">
        <v>177</v>
      </c>
      <c r="EK23" s="4">
        <v>0</v>
      </c>
      <c r="EL23" s="4">
        <v>0</v>
      </c>
      <c r="EQ23" s="5" t="s">
        <v>2</v>
      </c>
      <c r="ER23" s="5" t="s">
        <v>2</v>
      </c>
    </row>
    <row r="24" spans="1:148" x14ac:dyDescent="0.35">
      <c r="A24" s="14">
        <f t="shared" si="0"/>
        <v>6811</v>
      </c>
      <c r="B24" s="14" t="s">
        <v>471</v>
      </c>
      <c r="C24" s="15" t="s">
        <v>189</v>
      </c>
      <c r="D24" s="16">
        <v>33707</v>
      </c>
      <c r="E24" s="16">
        <v>45748</v>
      </c>
      <c r="F24" s="16"/>
      <c r="G24" s="15" t="s">
        <v>379</v>
      </c>
      <c r="H24" s="15" t="s">
        <v>179</v>
      </c>
      <c r="I24" s="15" t="s">
        <v>248</v>
      </c>
      <c r="J24" s="15" t="s">
        <v>248</v>
      </c>
      <c r="K24" s="15" t="s">
        <v>250</v>
      </c>
      <c r="L24" s="15" t="s">
        <v>165</v>
      </c>
      <c r="M24" s="15" t="s">
        <v>380</v>
      </c>
      <c r="N24" s="15" t="s">
        <v>167</v>
      </c>
      <c r="O24" s="15" t="s">
        <v>168</v>
      </c>
      <c r="P24" s="15" t="s">
        <v>381</v>
      </c>
      <c r="Q24" s="15" t="s">
        <v>382</v>
      </c>
      <c r="R24" s="15" t="s">
        <v>383</v>
      </c>
      <c r="S24" s="15" t="s">
        <v>384</v>
      </c>
      <c r="T24" s="15" t="s">
        <v>385</v>
      </c>
      <c r="U24" s="15" t="s">
        <v>386</v>
      </c>
      <c r="V24" s="17" t="s">
        <v>175</v>
      </c>
      <c r="W24" s="15" t="s">
        <v>175</v>
      </c>
      <c r="X24" s="15" t="s">
        <v>175</v>
      </c>
      <c r="Y24" s="17">
        <v>30</v>
      </c>
      <c r="Z24" s="17">
        <v>30</v>
      </c>
      <c r="AA24" s="17">
        <v>0</v>
      </c>
      <c r="AB24" s="17">
        <v>0</v>
      </c>
      <c r="AC24" s="17">
        <v>0</v>
      </c>
      <c r="AD24" s="18">
        <v>79182</v>
      </c>
      <c r="AE24" s="18">
        <v>0</v>
      </c>
      <c r="AF24" s="18">
        <v>39591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30089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148862</v>
      </c>
      <c r="CJ24" s="18">
        <v>9502</v>
      </c>
      <c r="CK24" s="18">
        <v>12338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35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21875</v>
      </c>
      <c r="DW24" s="18">
        <v>126987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126987</v>
      </c>
      <c r="EG24" s="19" t="s">
        <v>176</v>
      </c>
      <c r="EH24" s="20" t="s">
        <v>177</v>
      </c>
      <c r="EJ24" s="4" t="s">
        <v>177</v>
      </c>
      <c r="EK24" s="4">
        <v>0</v>
      </c>
      <c r="EL24" s="4">
        <v>0</v>
      </c>
      <c r="EQ24" s="5" t="s">
        <v>2</v>
      </c>
      <c r="ER24" s="5" t="s">
        <v>2</v>
      </c>
    </row>
    <row r="27" spans="1:148" x14ac:dyDescent="0.35">
      <c r="CK27" s="21"/>
      <c r="CL27" s="21"/>
    </row>
  </sheetData>
  <autoFilter ref="A4:ER24" xr:uid="{023E69CF-BD15-46CE-B12C-A49601B8BCA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7D6B-6444-4F13-AC9F-3373EE177997}">
  <dimension ref="A2:B25"/>
  <sheetViews>
    <sheetView workbookViewId="0">
      <selection activeCell="A6" sqref="A6"/>
    </sheetView>
  </sheetViews>
  <sheetFormatPr defaultRowHeight="14.5" x14ac:dyDescent="0.35"/>
  <sheetData>
    <row r="2" spans="1:2" x14ac:dyDescent="0.35">
      <c r="B2" s="25" t="s">
        <v>433</v>
      </c>
    </row>
    <row r="3" spans="1:2" x14ac:dyDescent="0.35">
      <c r="A3" s="25">
        <v>2</v>
      </c>
    </row>
    <row r="4" spans="1:2" x14ac:dyDescent="0.35">
      <c r="A4" s="25">
        <v>3</v>
      </c>
      <c r="B4" s="25" t="s">
        <v>434</v>
      </c>
    </row>
    <row r="5" spans="1:2" x14ac:dyDescent="0.35">
      <c r="A5" s="25">
        <v>4</v>
      </c>
      <c r="B5" s="25" t="s">
        <v>435</v>
      </c>
    </row>
    <row r="6" spans="1:2" x14ac:dyDescent="0.35">
      <c r="A6" s="25">
        <v>5</v>
      </c>
      <c r="B6" s="25" t="s">
        <v>436</v>
      </c>
    </row>
    <row r="7" spans="1:2" x14ac:dyDescent="0.35">
      <c r="A7" s="25">
        <v>6</v>
      </c>
    </row>
    <row r="8" spans="1:2" x14ac:dyDescent="0.35">
      <c r="A8" s="25">
        <v>7</v>
      </c>
      <c r="B8" s="25" t="s">
        <v>437</v>
      </c>
    </row>
    <row r="9" spans="1:2" x14ac:dyDescent="0.35">
      <c r="A9" s="25">
        <v>8</v>
      </c>
      <c r="B9" s="25" t="s">
        <v>438</v>
      </c>
    </row>
    <row r="10" spans="1:2" x14ac:dyDescent="0.35">
      <c r="A10" s="25">
        <v>9</v>
      </c>
      <c r="B10" s="25" t="s">
        <v>439</v>
      </c>
    </row>
    <row r="11" spans="1:2" x14ac:dyDescent="0.35">
      <c r="A11" s="25">
        <v>10</v>
      </c>
    </row>
    <row r="12" spans="1:2" x14ac:dyDescent="0.35">
      <c r="A12" s="25">
        <v>11</v>
      </c>
      <c r="B12" s="25" t="s">
        <v>440</v>
      </c>
    </row>
    <row r="13" spans="1:2" x14ac:dyDescent="0.35">
      <c r="A13" s="25">
        <v>12</v>
      </c>
      <c r="B13" s="25" t="s">
        <v>441</v>
      </c>
    </row>
    <row r="14" spans="1:2" x14ac:dyDescent="0.35">
      <c r="A14" s="25">
        <v>13</v>
      </c>
      <c r="B14" s="25" t="s">
        <v>442</v>
      </c>
    </row>
    <row r="15" spans="1:2" x14ac:dyDescent="0.35">
      <c r="A15" s="25">
        <v>14</v>
      </c>
      <c r="B15" s="25" t="s">
        <v>443</v>
      </c>
    </row>
    <row r="16" spans="1:2" x14ac:dyDescent="0.35">
      <c r="A16" s="25">
        <v>15</v>
      </c>
      <c r="B16" s="25" t="s">
        <v>444</v>
      </c>
    </row>
    <row r="17" spans="1:2" x14ac:dyDescent="0.35">
      <c r="A17" s="25">
        <v>16</v>
      </c>
      <c r="B17" s="25" t="s">
        <v>445</v>
      </c>
    </row>
    <row r="18" spans="1:2" x14ac:dyDescent="0.35">
      <c r="A18" s="25">
        <v>17</v>
      </c>
    </row>
    <row r="19" spans="1:2" x14ac:dyDescent="0.35">
      <c r="A19" s="25">
        <v>18</v>
      </c>
      <c r="B19" s="25" t="s">
        <v>446</v>
      </c>
    </row>
    <row r="20" spans="1:2" x14ac:dyDescent="0.35">
      <c r="A20" s="25">
        <v>19</v>
      </c>
      <c r="B20" s="25" t="s">
        <v>447</v>
      </c>
    </row>
    <row r="21" spans="1:2" x14ac:dyDescent="0.35">
      <c r="A21" s="25">
        <v>20</v>
      </c>
      <c r="B21" s="25" t="s">
        <v>448</v>
      </c>
    </row>
    <row r="22" spans="1:2" x14ac:dyDescent="0.35">
      <c r="A22" s="25">
        <v>21</v>
      </c>
      <c r="B22" s="25" t="s">
        <v>449</v>
      </c>
    </row>
    <row r="23" spans="1:2" x14ac:dyDescent="0.35">
      <c r="A23" s="25">
        <v>22</v>
      </c>
      <c r="B23" s="25" t="s">
        <v>450</v>
      </c>
    </row>
    <row r="24" spans="1:2" x14ac:dyDescent="0.35">
      <c r="A24" s="25">
        <v>23</v>
      </c>
    </row>
    <row r="25" spans="1:2" x14ac:dyDescent="0.35">
      <c r="A25" s="25">
        <v>24</v>
      </c>
      <c r="B25" s="25" t="s">
        <v>451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10CA-94BD-42B7-8F26-A8D359EFB864}">
  <dimension ref="A3:D14"/>
  <sheetViews>
    <sheetView tabSelected="1" zoomScale="80" zoomScaleNormal="80" workbookViewId="0">
      <selection activeCell="C14" sqref="C14"/>
    </sheetView>
  </sheetViews>
  <sheetFormatPr defaultRowHeight="14.5" x14ac:dyDescent="0.35"/>
  <cols>
    <col min="2" max="2" width="16.7265625" bestFit="1" customWidth="1"/>
    <col min="3" max="3" width="40.453125" bestFit="1" customWidth="1"/>
    <col min="4" max="4" width="16" bestFit="1" customWidth="1"/>
  </cols>
  <sheetData>
    <row r="3" spans="1:4" s="2" customFormat="1" x14ac:dyDescent="0.35">
      <c r="A3" s="2" t="s">
        <v>2</v>
      </c>
      <c r="B3" s="2" t="s">
        <v>0</v>
      </c>
      <c r="C3" s="2" t="s">
        <v>14</v>
      </c>
      <c r="D3" s="2" t="s">
        <v>2</v>
      </c>
    </row>
    <row r="4" spans="1:4" x14ac:dyDescent="0.35">
      <c r="A4">
        <v>1</v>
      </c>
      <c r="B4" t="s">
        <v>1</v>
      </c>
      <c r="C4" t="s">
        <v>9</v>
      </c>
    </row>
    <row r="5" spans="1:4" x14ac:dyDescent="0.35">
      <c r="C5" t="s">
        <v>10</v>
      </c>
    </row>
    <row r="6" spans="1:4" x14ac:dyDescent="0.35">
      <c r="C6" t="s">
        <v>8</v>
      </c>
    </row>
    <row r="7" spans="1:4" x14ac:dyDescent="0.35">
      <c r="C7" t="s">
        <v>6</v>
      </c>
    </row>
    <row r="8" spans="1:4" x14ac:dyDescent="0.35">
      <c r="C8" t="s">
        <v>7</v>
      </c>
    </row>
    <row r="9" spans="1:4" x14ac:dyDescent="0.35">
      <c r="C9" t="s">
        <v>5</v>
      </c>
    </row>
    <row r="10" spans="1:4" x14ac:dyDescent="0.35">
      <c r="C10" t="s">
        <v>13</v>
      </c>
    </row>
    <row r="11" spans="1:4" x14ac:dyDescent="0.35">
      <c r="C11" t="s">
        <v>12</v>
      </c>
    </row>
    <row r="12" spans="1:4" x14ac:dyDescent="0.35">
      <c r="C12" t="s">
        <v>11</v>
      </c>
    </row>
    <row r="13" spans="1:4" x14ac:dyDescent="0.35">
      <c r="A13">
        <v>2</v>
      </c>
      <c r="B13" t="s">
        <v>3</v>
      </c>
    </row>
    <row r="14" spans="1:4" x14ac:dyDescent="0.35">
      <c r="A14">
        <v>3</v>
      </c>
      <c r="B14" s="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6dddda-7e0f-468e-997c-e7bc586b94d0}" enabled="0" method="" siteId="{dc6dddda-7e0f-468e-997c-e7bc586b94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File2</vt:lpstr>
      <vt:lpstr>File1</vt:lpstr>
      <vt:lpstr>AI 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Prafulla Mishra</dc:creator>
  <cp:lastModifiedBy>Prafulla Mishra</cp:lastModifiedBy>
  <dcterms:created xsi:type="dcterms:W3CDTF">2026-06-02T04:03:43Z</dcterms:created>
  <dcterms:modified xsi:type="dcterms:W3CDTF">2026-07-27T04:50:17Z</dcterms:modified>
</cp:coreProperties>
</file>